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oham\OneDrive\Desktop\projects\"/>
    </mc:Choice>
  </mc:AlternateContent>
  <xr:revisionPtr revIDLastSave="0" documentId="13_ncr:1_{57DCAFC0-C988-4867-BE52-ED09BA2B4C32}" xr6:coauthVersionLast="47" xr6:coauthVersionMax="47" xr10:uidLastSave="{00000000-0000-0000-0000-000000000000}"/>
  <bookViews>
    <workbookView xWindow="-108" yWindow="-108" windowWidth="23256" windowHeight="12456" activeTab="3" xr2:uid="{53A033E1-559A-43B4-98CA-7AA5EF269C21}"/>
  </bookViews>
  <sheets>
    <sheet name="sales_data" sheetId="1" r:id="rId1"/>
    <sheet name="Pivot_tables" sheetId="9" r:id="rId2"/>
    <sheet name="kpi_calculation" sheetId="6" r:id="rId3"/>
    <sheet name="dashboard_view" sheetId="2" r:id="rId4"/>
    <sheet name="summary" sheetId="21" r:id="rId5"/>
  </sheets>
  <definedNames>
    <definedName name="_xlcn.WorksheetConnection_project.xlsx1" hidden="1">Table2[]</definedName>
    <definedName name="Slicer_Date_Hierarchy">#N/A</definedName>
    <definedName name="Slicer_Product">#N/A</definedName>
    <definedName name="Slicer_Region">#N/A</definedName>
  </definedNames>
  <calcPr calcId="191029"/>
  <pivotCaches>
    <pivotCache cacheId="2235" r:id="rId6"/>
    <pivotCache cacheId="2238" r:id="rId7"/>
    <pivotCache cacheId="2241" r:id="rId8"/>
    <pivotCache cacheId="2244" r:id="rId9"/>
    <pivotCache cacheId="2247" r:id="rId10"/>
    <pivotCache cacheId="2250" r:id="rId11"/>
    <pivotCache cacheId="2253" r:id="rId12"/>
    <pivotCache cacheId="2256" r:id="rId13"/>
    <pivotCache cacheId="2259" r:id="rId14"/>
    <pivotCache cacheId="2262" r:id="rId15"/>
    <pivotCache cacheId="2265" r:id="rId16"/>
    <pivotCache cacheId="2268" r:id="rId17"/>
    <pivotCache cacheId="2271" r:id="rId18"/>
    <pivotCache cacheId="2274" r:id="rId19"/>
    <pivotCache cacheId="2277"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sales_data" connection="WorksheetConnection_project.xlsx"/>
          <x15:modelTable id="Calendar" name="Calendar" connection="Connection"/>
        </x15:modelTables>
        <x15:modelRelationships>
          <x15:modelRelationship fromTable="sales_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6" l="1"/>
  <c r="G6" i="2" s="1"/>
  <c r="K2" i="6"/>
  <c r="G5" i="2" s="1"/>
  <c r="E8" i="6"/>
  <c r="J6" i="2" s="1"/>
  <c r="D22" i="6"/>
  <c r="A6" i="2" s="1"/>
  <c r="D8" i="6"/>
  <c r="J5" i="2" s="1"/>
  <c r="P6" i="2"/>
  <c r="D5" i="2"/>
  <c r="V5" i="2"/>
  <c r="D6" i="2"/>
  <c r="P5" i="2"/>
  <c r="D16" i="6"/>
  <c r="V6" i="2" l="1"/>
  <c r="C6" i="1"/>
  <c r="A5" i="2"/>
  <c r="S5" i="2"/>
  <c r="M5" i="2"/>
  <c r="O3" i="1" l="1"/>
  <c r="O4" i="1"/>
  <c r="O5" i="1"/>
  <c r="O6" i="1"/>
  <c r="O9" i="1"/>
  <c r="O7" i="1"/>
  <c r="O8" i="1"/>
  <c r="O10" i="1"/>
  <c r="O12" i="1"/>
  <c r="O11"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8" i="1"/>
  <c r="O47" i="1"/>
  <c r="O49" i="1"/>
  <c r="O50" i="1"/>
  <c r="O51" i="1"/>
  <c r="O53" i="1"/>
  <c r="O54" i="1"/>
  <c r="O52"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3" i="1"/>
  <c r="O92" i="1"/>
  <c r="O94" i="1"/>
  <c r="O95" i="1"/>
  <c r="O96" i="1"/>
  <c r="O97" i="1"/>
  <c r="O98" i="1"/>
  <c r="O99" i="1"/>
  <c r="O100" i="1"/>
  <c r="O102" i="1"/>
  <c r="O101" i="1"/>
  <c r="O103" i="1"/>
  <c r="O104" i="1"/>
  <c r="O105" i="1"/>
  <c r="O106" i="1"/>
  <c r="O107" i="1"/>
  <c r="O108" i="1"/>
  <c r="O109" i="1"/>
  <c r="O110" i="1"/>
  <c r="O111" i="1"/>
  <c r="O113" i="1"/>
  <c r="O112" i="1"/>
  <c r="O114" i="1"/>
  <c r="O115" i="1"/>
  <c r="O116" i="1"/>
  <c r="O118" i="1"/>
  <c r="O117" i="1"/>
  <c r="O119" i="1"/>
  <c r="O120" i="1"/>
  <c r="O121" i="1"/>
  <c r="O122" i="1"/>
  <c r="O123" i="1"/>
  <c r="O124" i="1"/>
  <c r="O125" i="1"/>
  <c r="O126" i="1"/>
  <c r="O127" i="1"/>
  <c r="O128" i="1"/>
  <c r="O129" i="1"/>
  <c r="O130" i="1"/>
  <c r="O132" i="1"/>
  <c r="O131" i="1"/>
  <c r="O133" i="1"/>
  <c r="O134" i="1"/>
  <c r="O136" i="1"/>
  <c r="O135" i="1"/>
  <c r="O137" i="1"/>
  <c r="O138" i="1"/>
  <c r="O139" i="1"/>
  <c r="O141" i="1"/>
  <c r="O140" i="1"/>
  <c r="O142" i="1"/>
  <c r="O143" i="1"/>
  <c r="O144" i="1"/>
  <c r="O148" i="1"/>
  <c r="O145" i="1"/>
  <c r="O146" i="1"/>
  <c r="O147" i="1"/>
  <c r="O149" i="1"/>
  <c r="O150" i="1"/>
  <c r="O151" i="1"/>
  <c r="O152" i="1"/>
  <c r="O153" i="1"/>
  <c r="O154" i="1"/>
  <c r="O155" i="1"/>
  <c r="O156" i="1"/>
  <c r="O157" i="1"/>
  <c r="O159" i="1"/>
  <c r="O158" i="1"/>
  <c r="O160" i="1"/>
  <c r="O161" i="1"/>
  <c r="O162" i="1"/>
  <c r="O163" i="1"/>
  <c r="O164" i="1"/>
  <c r="O165" i="1"/>
  <c r="O166" i="1"/>
  <c r="O167" i="1"/>
  <c r="O168" i="1"/>
  <c r="O169" i="1"/>
  <c r="O170" i="1"/>
  <c r="O171" i="1"/>
  <c r="O172" i="1"/>
  <c r="O173" i="1"/>
  <c r="O175" i="1"/>
  <c r="O174" i="1"/>
  <c r="O176" i="1"/>
  <c r="O177" i="1"/>
  <c r="O178" i="1"/>
  <c r="O179" i="1"/>
  <c r="O180" i="1"/>
  <c r="O181" i="1"/>
  <c r="O182" i="1"/>
  <c r="O183" i="1"/>
  <c r="O184" i="1"/>
  <c r="O185" i="1"/>
  <c r="O186" i="1"/>
  <c r="O187" i="1"/>
  <c r="O188" i="1"/>
  <c r="O189" i="1"/>
  <c r="O190" i="1"/>
  <c r="O191" i="1"/>
  <c r="O192" i="1"/>
  <c r="O196" i="1"/>
  <c r="O193" i="1"/>
  <c r="O194" i="1"/>
  <c r="O195" i="1"/>
  <c r="O197" i="1"/>
  <c r="O198" i="1"/>
  <c r="O199" i="1"/>
  <c r="O200" i="1"/>
  <c r="O203" i="1"/>
  <c r="O201" i="1"/>
  <c r="O202"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5" i="1"/>
  <c r="O264"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9" i="1"/>
  <c r="O318" i="1"/>
  <c r="O320" i="1"/>
  <c r="O321" i="1"/>
  <c r="O322" i="1"/>
  <c r="O323" i="1"/>
  <c r="O324" i="1"/>
  <c r="O325" i="1"/>
  <c r="O326" i="1"/>
  <c r="O327" i="1"/>
  <c r="O328" i="1"/>
  <c r="O329" i="1"/>
  <c r="O330" i="1"/>
  <c r="O332" i="1"/>
  <c r="O333" i="1"/>
  <c r="O331" i="1"/>
  <c r="O334" i="1"/>
  <c r="O335" i="1"/>
  <c r="O336" i="1"/>
  <c r="O337" i="1"/>
  <c r="O338" i="1"/>
  <c r="O339" i="1"/>
  <c r="O340" i="1"/>
  <c r="O341" i="1"/>
  <c r="O343" i="1"/>
  <c r="O342" i="1"/>
  <c r="O344" i="1"/>
  <c r="O345" i="1"/>
  <c r="O346" i="1"/>
  <c r="O347" i="1"/>
  <c r="O349" i="1"/>
  <c r="O348" i="1"/>
  <c r="O350" i="1"/>
  <c r="O351" i="1"/>
  <c r="O352" i="1"/>
  <c r="O353" i="1"/>
  <c r="O354" i="1"/>
  <c r="O356" i="1"/>
  <c r="O355" i="1"/>
  <c r="O357" i="1"/>
  <c r="O358" i="1"/>
  <c r="O359" i="1"/>
  <c r="O360" i="1"/>
  <c r="O361" i="1"/>
  <c r="O362" i="1"/>
  <c r="O363" i="1"/>
  <c r="O364" i="1"/>
  <c r="O365" i="1"/>
  <c r="O366" i="1"/>
  <c r="O367" i="1"/>
  <c r="O368" i="1"/>
  <c r="O369" i="1"/>
  <c r="O370" i="1"/>
  <c r="O371" i="1"/>
  <c r="O372" i="1"/>
  <c r="O373" i="1"/>
  <c r="O374" i="1"/>
  <c r="O375" i="1"/>
  <c r="O377" i="1"/>
  <c r="O378" i="1"/>
  <c r="O376" i="1"/>
  <c r="O379" i="1"/>
  <c r="O380" i="1"/>
  <c r="O381" i="1"/>
  <c r="O382" i="1"/>
  <c r="O383" i="1"/>
  <c r="O384" i="1"/>
  <c r="O385" i="1"/>
  <c r="O386" i="1"/>
  <c r="O387" i="1"/>
  <c r="O388" i="1"/>
  <c r="O390" i="1"/>
  <c r="O389" i="1"/>
  <c r="O391" i="1"/>
  <c r="O392" i="1"/>
  <c r="O393" i="1"/>
  <c r="O395" i="1"/>
  <c r="O394" i="1"/>
  <c r="O396" i="1"/>
  <c r="O397" i="1"/>
  <c r="O398" i="1"/>
  <c r="O399" i="1"/>
  <c r="O400" i="1"/>
  <c r="O401" i="1"/>
  <c r="O402" i="1"/>
  <c r="O403" i="1"/>
  <c r="O404" i="1"/>
  <c r="O405" i="1"/>
  <c r="O406" i="1"/>
  <c r="O407" i="1"/>
  <c r="O408" i="1"/>
  <c r="O409" i="1"/>
  <c r="O410" i="1"/>
  <c r="O411" i="1"/>
  <c r="O412" i="1"/>
  <c r="O413" i="1"/>
  <c r="O414" i="1"/>
  <c r="O415" i="1"/>
  <c r="O418" i="1"/>
  <c r="O416" i="1"/>
  <c r="O417" i="1"/>
  <c r="O419" i="1"/>
  <c r="O420" i="1"/>
  <c r="O421" i="1"/>
  <c r="O422" i="1"/>
  <c r="O423" i="1"/>
  <c r="O424" i="1"/>
  <c r="O426" i="1"/>
  <c r="O425" i="1"/>
  <c r="O427" i="1"/>
  <c r="O428" i="1"/>
  <c r="O429" i="1"/>
  <c r="O430" i="1"/>
  <c r="O431" i="1"/>
  <c r="O432" i="1"/>
  <c r="O433" i="1"/>
  <c r="O435" i="1"/>
  <c r="O434" i="1"/>
  <c r="O437" i="1"/>
  <c r="O436" i="1"/>
  <c r="O438" i="1"/>
  <c r="O439" i="1"/>
  <c r="O441" i="1"/>
  <c r="O440" i="1"/>
  <c r="O442" i="1"/>
  <c r="O443" i="1"/>
  <c r="O444" i="1"/>
  <c r="O445" i="1"/>
  <c r="O446" i="1"/>
  <c r="O447" i="1"/>
  <c r="O448" i="1"/>
  <c r="O449" i="1"/>
  <c r="O450" i="1"/>
  <c r="O451" i="1"/>
  <c r="O452" i="1"/>
  <c r="O453" i="1"/>
  <c r="O454" i="1"/>
  <c r="O455" i="1"/>
  <c r="O456" i="1"/>
  <c r="O457" i="1"/>
  <c r="O458" i="1"/>
  <c r="O460" i="1"/>
  <c r="O459" i="1"/>
  <c r="O461" i="1"/>
  <c r="O462" i="1"/>
  <c r="O463" i="1"/>
  <c r="O464" i="1"/>
  <c r="O465" i="1"/>
  <c r="O466" i="1"/>
  <c r="O467" i="1"/>
  <c r="O468" i="1"/>
  <c r="O469" i="1"/>
  <c r="O470" i="1"/>
  <c r="O471" i="1"/>
  <c r="O472" i="1"/>
  <c r="O474" i="1"/>
  <c r="O473" i="1"/>
  <c r="O475" i="1"/>
  <c r="O476" i="1"/>
  <c r="O477" i="1"/>
  <c r="O478" i="1"/>
  <c r="O480" i="1"/>
  <c r="O479" i="1"/>
  <c r="O481" i="1"/>
  <c r="O482" i="1"/>
  <c r="O483" i="1"/>
  <c r="O484" i="1"/>
  <c r="O485" i="1"/>
  <c r="O486" i="1"/>
  <c r="O487" i="1"/>
  <c r="O488" i="1"/>
  <c r="O489" i="1"/>
  <c r="O490" i="1"/>
  <c r="O491" i="1"/>
  <c r="O492" i="1"/>
  <c r="O493" i="1"/>
  <c r="O494" i="1"/>
  <c r="O495" i="1"/>
  <c r="O496" i="1"/>
  <c r="O497" i="1"/>
  <c r="O498" i="1"/>
  <c r="O499" i="1"/>
  <c r="O500" i="1"/>
  <c r="O501" i="1"/>
  <c r="O2" i="1"/>
  <c r="M501" i="1"/>
  <c r="N501" i="1" s="1"/>
  <c r="C501" i="1"/>
  <c r="B501" i="1"/>
  <c r="M500" i="1"/>
  <c r="N500" i="1" s="1"/>
  <c r="C500" i="1"/>
  <c r="B500" i="1"/>
  <c r="M499" i="1"/>
  <c r="N499" i="1" s="1"/>
  <c r="C499" i="1"/>
  <c r="B499" i="1"/>
  <c r="M498" i="1"/>
  <c r="N498" i="1" s="1"/>
  <c r="C498" i="1"/>
  <c r="B498" i="1"/>
  <c r="M497" i="1"/>
  <c r="N497" i="1" s="1"/>
  <c r="C497" i="1"/>
  <c r="B497" i="1"/>
  <c r="M496" i="1"/>
  <c r="N496" i="1" s="1"/>
  <c r="C496" i="1"/>
  <c r="B496" i="1"/>
  <c r="M495" i="1"/>
  <c r="N495" i="1" s="1"/>
  <c r="C495" i="1"/>
  <c r="B495" i="1"/>
  <c r="M494" i="1"/>
  <c r="N494" i="1" s="1"/>
  <c r="C494" i="1"/>
  <c r="B494" i="1"/>
  <c r="M493" i="1"/>
  <c r="N493" i="1" s="1"/>
  <c r="C493" i="1"/>
  <c r="B493" i="1"/>
  <c r="M492" i="1"/>
  <c r="N492" i="1" s="1"/>
  <c r="C492" i="1"/>
  <c r="B492" i="1"/>
  <c r="M491" i="1"/>
  <c r="N491" i="1" s="1"/>
  <c r="C491" i="1"/>
  <c r="B491" i="1"/>
  <c r="M490" i="1"/>
  <c r="N490" i="1" s="1"/>
  <c r="C490" i="1"/>
  <c r="B490" i="1"/>
  <c r="M489" i="1"/>
  <c r="N489" i="1" s="1"/>
  <c r="C489" i="1"/>
  <c r="B489" i="1"/>
  <c r="M488" i="1"/>
  <c r="N488" i="1" s="1"/>
  <c r="C488" i="1"/>
  <c r="B488" i="1"/>
  <c r="M487" i="1"/>
  <c r="N487" i="1" s="1"/>
  <c r="C487" i="1"/>
  <c r="B487" i="1"/>
  <c r="M486" i="1"/>
  <c r="N486" i="1" s="1"/>
  <c r="C486" i="1"/>
  <c r="B486" i="1"/>
  <c r="M485" i="1"/>
  <c r="N485" i="1" s="1"/>
  <c r="C485" i="1"/>
  <c r="B485" i="1"/>
  <c r="M484" i="1"/>
  <c r="N484" i="1" s="1"/>
  <c r="C484" i="1"/>
  <c r="B484" i="1"/>
  <c r="M483" i="1"/>
  <c r="N483" i="1" s="1"/>
  <c r="C483" i="1"/>
  <c r="B483" i="1"/>
  <c r="M482" i="1"/>
  <c r="N482" i="1" s="1"/>
  <c r="C482" i="1"/>
  <c r="B482" i="1"/>
  <c r="M481" i="1"/>
  <c r="N481" i="1" s="1"/>
  <c r="C481" i="1"/>
  <c r="B481" i="1"/>
  <c r="M479" i="1"/>
  <c r="N479" i="1" s="1"/>
  <c r="C479" i="1"/>
  <c r="B479" i="1"/>
  <c r="M480" i="1"/>
  <c r="N480" i="1" s="1"/>
  <c r="C480" i="1"/>
  <c r="B480" i="1"/>
  <c r="M478" i="1"/>
  <c r="N478" i="1" s="1"/>
  <c r="C478" i="1"/>
  <c r="B478" i="1"/>
  <c r="M477" i="1"/>
  <c r="N477" i="1" s="1"/>
  <c r="C477" i="1"/>
  <c r="B477" i="1"/>
  <c r="M476" i="1"/>
  <c r="N476" i="1" s="1"/>
  <c r="C476" i="1"/>
  <c r="B476" i="1"/>
  <c r="M475" i="1"/>
  <c r="N475" i="1" s="1"/>
  <c r="C475" i="1"/>
  <c r="B475" i="1"/>
  <c r="M473" i="1"/>
  <c r="N473" i="1" s="1"/>
  <c r="C473" i="1"/>
  <c r="B473" i="1"/>
  <c r="M474" i="1"/>
  <c r="N474" i="1" s="1"/>
  <c r="C474" i="1"/>
  <c r="B474" i="1"/>
  <c r="M472" i="1"/>
  <c r="N472" i="1" s="1"/>
  <c r="C472" i="1"/>
  <c r="B472" i="1"/>
  <c r="M471" i="1"/>
  <c r="N471" i="1" s="1"/>
  <c r="C471" i="1"/>
  <c r="B471" i="1"/>
  <c r="M470" i="1"/>
  <c r="N470" i="1" s="1"/>
  <c r="C470" i="1"/>
  <c r="B470" i="1"/>
  <c r="M469" i="1"/>
  <c r="N469" i="1" s="1"/>
  <c r="C469" i="1"/>
  <c r="B469" i="1"/>
  <c r="M468" i="1"/>
  <c r="N468" i="1" s="1"/>
  <c r="C468" i="1"/>
  <c r="B468" i="1"/>
  <c r="M467" i="1"/>
  <c r="N467" i="1" s="1"/>
  <c r="C467" i="1"/>
  <c r="B467" i="1"/>
  <c r="M466" i="1"/>
  <c r="N466" i="1" s="1"/>
  <c r="C466" i="1"/>
  <c r="B466" i="1"/>
  <c r="M465" i="1"/>
  <c r="N465" i="1" s="1"/>
  <c r="C465" i="1"/>
  <c r="B465" i="1"/>
  <c r="M464" i="1"/>
  <c r="N464" i="1" s="1"/>
  <c r="C464" i="1"/>
  <c r="B464" i="1"/>
  <c r="M463" i="1"/>
  <c r="N463" i="1" s="1"/>
  <c r="C463" i="1"/>
  <c r="B463" i="1"/>
  <c r="M462" i="1"/>
  <c r="N462" i="1" s="1"/>
  <c r="C462" i="1"/>
  <c r="B462" i="1"/>
  <c r="M461" i="1"/>
  <c r="N461" i="1" s="1"/>
  <c r="C461" i="1"/>
  <c r="B461" i="1"/>
  <c r="M459" i="1"/>
  <c r="N459" i="1" s="1"/>
  <c r="C459" i="1"/>
  <c r="B459" i="1"/>
  <c r="M460" i="1"/>
  <c r="N460" i="1" s="1"/>
  <c r="C460" i="1"/>
  <c r="B460" i="1"/>
  <c r="M458" i="1"/>
  <c r="N458" i="1" s="1"/>
  <c r="C458" i="1"/>
  <c r="B458" i="1"/>
  <c r="M457" i="1"/>
  <c r="N457" i="1" s="1"/>
  <c r="C457" i="1"/>
  <c r="B457" i="1"/>
  <c r="M456" i="1"/>
  <c r="N456" i="1" s="1"/>
  <c r="C456" i="1"/>
  <c r="B456" i="1"/>
  <c r="M455" i="1"/>
  <c r="N455" i="1" s="1"/>
  <c r="C455" i="1"/>
  <c r="B455" i="1"/>
  <c r="M454" i="1"/>
  <c r="N454" i="1" s="1"/>
  <c r="C454" i="1"/>
  <c r="B454" i="1"/>
  <c r="M453" i="1"/>
  <c r="N453" i="1" s="1"/>
  <c r="C453" i="1"/>
  <c r="B453" i="1"/>
  <c r="M452" i="1"/>
  <c r="N452" i="1" s="1"/>
  <c r="C452" i="1"/>
  <c r="B452" i="1"/>
  <c r="M451" i="1"/>
  <c r="N451" i="1" s="1"/>
  <c r="C451" i="1"/>
  <c r="B451" i="1"/>
  <c r="M450" i="1"/>
  <c r="N450" i="1" s="1"/>
  <c r="C450" i="1"/>
  <c r="B450" i="1"/>
  <c r="M449" i="1"/>
  <c r="N449" i="1" s="1"/>
  <c r="C449" i="1"/>
  <c r="B449" i="1"/>
  <c r="M448" i="1"/>
  <c r="N448" i="1" s="1"/>
  <c r="C448" i="1"/>
  <c r="B448" i="1"/>
  <c r="M447" i="1"/>
  <c r="N447" i="1" s="1"/>
  <c r="C447" i="1"/>
  <c r="B447" i="1"/>
  <c r="M446" i="1"/>
  <c r="N446" i="1" s="1"/>
  <c r="C446" i="1"/>
  <c r="B446" i="1"/>
  <c r="M445" i="1"/>
  <c r="N445" i="1" s="1"/>
  <c r="C445" i="1"/>
  <c r="B445" i="1"/>
  <c r="M444" i="1"/>
  <c r="N444" i="1" s="1"/>
  <c r="C444" i="1"/>
  <c r="B444" i="1"/>
  <c r="M443" i="1"/>
  <c r="N443" i="1" s="1"/>
  <c r="C443" i="1"/>
  <c r="B443" i="1"/>
  <c r="M442" i="1"/>
  <c r="N442" i="1" s="1"/>
  <c r="C442" i="1"/>
  <c r="B442" i="1"/>
  <c r="M440" i="1"/>
  <c r="N440" i="1" s="1"/>
  <c r="C440" i="1"/>
  <c r="B440" i="1"/>
  <c r="M441" i="1"/>
  <c r="N441" i="1" s="1"/>
  <c r="C441" i="1"/>
  <c r="B441" i="1"/>
  <c r="M439" i="1"/>
  <c r="N439" i="1" s="1"/>
  <c r="C439" i="1"/>
  <c r="B439" i="1"/>
  <c r="M438" i="1"/>
  <c r="N438" i="1" s="1"/>
  <c r="C438" i="1"/>
  <c r="B438" i="1"/>
  <c r="M436" i="1"/>
  <c r="N436" i="1" s="1"/>
  <c r="C436" i="1"/>
  <c r="B436" i="1"/>
  <c r="M437" i="1"/>
  <c r="N437" i="1" s="1"/>
  <c r="C437" i="1"/>
  <c r="B437" i="1"/>
  <c r="M434" i="1"/>
  <c r="N434" i="1" s="1"/>
  <c r="C434" i="1"/>
  <c r="B434" i="1"/>
  <c r="M435" i="1"/>
  <c r="N435" i="1" s="1"/>
  <c r="C435" i="1"/>
  <c r="B435" i="1"/>
  <c r="M433" i="1"/>
  <c r="N433" i="1" s="1"/>
  <c r="C433" i="1"/>
  <c r="B433" i="1"/>
  <c r="M432" i="1"/>
  <c r="N432" i="1" s="1"/>
  <c r="C432" i="1"/>
  <c r="B432" i="1"/>
  <c r="M431" i="1"/>
  <c r="N431" i="1" s="1"/>
  <c r="C431" i="1"/>
  <c r="B431" i="1"/>
  <c r="M430" i="1"/>
  <c r="N430" i="1" s="1"/>
  <c r="C430" i="1"/>
  <c r="B430" i="1"/>
  <c r="M429" i="1"/>
  <c r="N429" i="1" s="1"/>
  <c r="C429" i="1"/>
  <c r="B429" i="1"/>
  <c r="M428" i="1"/>
  <c r="N428" i="1" s="1"/>
  <c r="C428" i="1"/>
  <c r="B428" i="1"/>
  <c r="M427" i="1"/>
  <c r="N427" i="1" s="1"/>
  <c r="C427" i="1"/>
  <c r="B427" i="1"/>
  <c r="M425" i="1"/>
  <c r="N425" i="1" s="1"/>
  <c r="C425" i="1"/>
  <c r="B425" i="1"/>
  <c r="M426" i="1"/>
  <c r="N426" i="1" s="1"/>
  <c r="C426" i="1"/>
  <c r="B426" i="1"/>
  <c r="M424" i="1"/>
  <c r="N424" i="1" s="1"/>
  <c r="C424" i="1"/>
  <c r="B424" i="1"/>
  <c r="M423" i="1"/>
  <c r="N423" i="1" s="1"/>
  <c r="C423" i="1"/>
  <c r="B423" i="1"/>
  <c r="M422" i="1"/>
  <c r="N422" i="1" s="1"/>
  <c r="C422" i="1"/>
  <c r="B422" i="1"/>
  <c r="M421" i="1"/>
  <c r="N421" i="1" s="1"/>
  <c r="C421" i="1"/>
  <c r="B421" i="1"/>
  <c r="M420" i="1"/>
  <c r="N420" i="1" s="1"/>
  <c r="C420" i="1"/>
  <c r="B420" i="1"/>
  <c r="M419" i="1"/>
  <c r="N419" i="1" s="1"/>
  <c r="C419" i="1"/>
  <c r="B419" i="1"/>
  <c r="M417" i="1"/>
  <c r="N417" i="1" s="1"/>
  <c r="C417" i="1"/>
  <c r="B417" i="1"/>
  <c r="M416" i="1"/>
  <c r="N416" i="1" s="1"/>
  <c r="C416" i="1"/>
  <c r="B416" i="1"/>
  <c r="M418" i="1"/>
  <c r="N418" i="1" s="1"/>
  <c r="C418" i="1"/>
  <c r="B418" i="1"/>
  <c r="M415" i="1"/>
  <c r="N415" i="1" s="1"/>
  <c r="C415" i="1"/>
  <c r="B415" i="1"/>
  <c r="M414" i="1"/>
  <c r="N414" i="1" s="1"/>
  <c r="C414" i="1"/>
  <c r="B414" i="1"/>
  <c r="M413" i="1"/>
  <c r="N413" i="1" s="1"/>
  <c r="C413" i="1"/>
  <c r="B413" i="1"/>
  <c r="M412" i="1"/>
  <c r="N412" i="1" s="1"/>
  <c r="C412" i="1"/>
  <c r="B412" i="1"/>
  <c r="M411" i="1"/>
  <c r="N411" i="1" s="1"/>
  <c r="C411" i="1"/>
  <c r="B411" i="1"/>
  <c r="M410" i="1"/>
  <c r="N410" i="1" s="1"/>
  <c r="C410" i="1"/>
  <c r="B410" i="1"/>
  <c r="M409" i="1"/>
  <c r="N409" i="1" s="1"/>
  <c r="C409" i="1"/>
  <c r="B409" i="1"/>
  <c r="M408" i="1"/>
  <c r="N408" i="1" s="1"/>
  <c r="C408" i="1"/>
  <c r="B408" i="1"/>
  <c r="M407" i="1"/>
  <c r="N407" i="1" s="1"/>
  <c r="C407" i="1"/>
  <c r="B407" i="1"/>
  <c r="M406" i="1"/>
  <c r="N406" i="1" s="1"/>
  <c r="C406" i="1"/>
  <c r="B406" i="1"/>
  <c r="M405" i="1"/>
  <c r="N405" i="1" s="1"/>
  <c r="C405" i="1"/>
  <c r="B405" i="1"/>
  <c r="M404" i="1"/>
  <c r="N404" i="1" s="1"/>
  <c r="C404" i="1"/>
  <c r="B404" i="1"/>
  <c r="M403" i="1"/>
  <c r="N403" i="1" s="1"/>
  <c r="C403" i="1"/>
  <c r="B403" i="1"/>
  <c r="M402" i="1"/>
  <c r="N402" i="1" s="1"/>
  <c r="C402" i="1"/>
  <c r="B402" i="1"/>
  <c r="M401" i="1"/>
  <c r="N401" i="1" s="1"/>
  <c r="C401" i="1"/>
  <c r="B401" i="1"/>
  <c r="M400" i="1"/>
  <c r="N400" i="1" s="1"/>
  <c r="C400" i="1"/>
  <c r="B400" i="1"/>
  <c r="M399" i="1"/>
  <c r="N399" i="1" s="1"/>
  <c r="C399" i="1"/>
  <c r="B399" i="1"/>
  <c r="M398" i="1"/>
  <c r="N398" i="1" s="1"/>
  <c r="C398" i="1"/>
  <c r="B398" i="1"/>
  <c r="M397" i="1"/>
  <c r="N397" i="1" s="1"/>
  <c r="C397" i="1"/>
  <c r="B397" i="1"/>
  <c r="M396" i="1"/>
  <c r="N396" i="1" s="1"/>
  <c r="C396" i="1"/>
  <c r="B396" i="1"/>
  <c r="M394" i="1"/>
  <c r="N394" i="1" s="1"/>
  <c r="C394" i="1"/>
  <c r="B394" i="1"/>
  <c r="M395" i="1"/>
  <c r="N395" i="1" s="1"/>
  <c r="C395" i="1"/>
  <c r="B395" i="1"/>
  <c r="M393" i="1"/>
  <c r="N393" i="1" s="1"/>
  <c r="C393" i="1"/>
  <c r="B393" i="1"/>
  <c r="M392" i="1"/>
  <c r="N392" i="1" s="1"/>
  <c r="C392" i="1"/>
  <c r="B392" i="1"/>
  <c r="M391" i="1"/>
  <c r="N391" i="1" s="1"/>
  <c r="C391" i="1"/>
  <c r="B391" i="1"/>
  <c r="M389" i="1"/>
  <c r="N389" i="1" s="1"/>
  <c r="C389" i="1"/>
  <c r="B389" i="1"/>
  <c r="M390" i="1"/>
  <c r="N390" i="1" s="1"/>
  <c r="C390" i="1"/>
  <c r="B390" i="1"/>
  <c r="M388" i="1"/>
  <c r="N388" i="1" s="1"/>
  <c r="C388" i="1"/>
  <c r="B388" i="1"/>
  <c r="M387" i="1"/>
  <c r="N387" i="1" s="1"/>
  <c r="C387" i="1"/>
  <c r="B387" i="1"/>
  <c r="M386" i="1"/>
  <c r="N386" i="1" s="1"/>
  <c r="C386" i="1"/>
  <c r="B386" i="1"/>
  <c r="M385" i="1"/>
  <c r="N385" i="1" s="1"/>
  <c r="C385" i="1"/>
  <c r="B385" i="1"/>
  <c r="M384" i="1"/>
  <c r="N384" i="1" s="1"/>
  <c r="C384" i="1"/>
  <c r="B384" i="1"/>
  <c r="M383" i="1"/>
  <c r="N383" i="1" s="1"/>
  <c r="C383" i="1"/>
  <c r="B383" i="1"/>
  <c r="M382" i="1"/>
  <c r="N382" i="1" s="1"/>
  <c r="C382" i="1"/>
  <c r="B382" i="1"/>
  <c r="M381" i="1"/>
  <c r="N381" i="1" s="1"/>
  <c r="C381" i="1"/>
  <c r="B381" i="1"/>
  <c r="M380" i="1"/>
  <c r="N380" i="1" s="1"/>
  <c r="C380" i="1"/>
  <c r="B380" i="1"/>
  <c r="M379" i="1"/>
  <c r="N379" i="1" s="1"/>
  <c r="C379" i="1"/>
  <c r="B379" i="1"/>
  <c r="M376" i="1"/>
  <c r="N376" i="1" s="1"/>
  <c r="C376" i="1"/>
  <c r="B376" i="1"/>
  <c r="M378" i="1"/>
  <c r="N378" i="1" s="1"/>
  <c r="C378" i="1"/>
  <c r="B378" i="1"/>
  <c r="M377" i="1"/>
  <c r="N377" i="1" s="1"/>
  <c r="C377" i="1"/>
  <c r="B377" i="1"/>
  <c r="M375" i="1"/>
  <c r="N375" i="1" s="1"/>
  <c r="C375" i="1"/>
  <c r="B375" i="1"/>
  <c r="M374" i="1"/>
  <c r="N374" i="1" s="1"/>
  <c r="C374" i="1"/>
  <c r="B374" i="1"/>
  <c r="M373" i="1"/>
  <c r="N373" i="1" s="1"/>
  <c r="C373" i="1"/>
  <c r="B373" i="1"/>
  <c r="M372" i="1"/>
  <c r="N372" i="1" s="1"/>
  <c r="C372" i="1"/>
  <c r="B372" i="1"/>
  <c r="M371" i="1"/>
  <c r="N371" i="1" s="1"/>
  <c r="C371" i="1"/>
  <c r="B371" i="1"/>
  <c r="M370" i="1"/>
  <c r="N370" i="1" s="1"/>
  <c r="C370" i="1"/>
  <c r="B370" i="1"/>
  <c r="M369" i="1"/>
  <c r="N369" i="1" s="1"/>
  <c r="C369" i="1"/>
  <c r="B369" i="1"/>
  <c r="M368" i="1"/>
  <c r="N368" i="1" s="1"/>
  <c r="C368" i="1"/>
  <c r="B368" i="1"/>
  <c r="M367" i="1"/>
  <c r="N367" i="1" s="1"/>
  <c r="C367" i="1"/>
  <c r="B367" i="1"/>
  <c r="M366" i="1"/>
  <c r="N366" i="1" s="1"/>
  <c r="C366" i="1"/>
  <c r="B366" i="1"/>
  <c r="M365" i="1"/>
  <c r="N365" i="1" s="1"/>
  <c r="C365" i="1"/>
  <c r="B365" i="1"/>
  <c r="M364" i="1"/>
  <c r="N364" i="1" s="1"/>
  <c r="C364" i="1"/>
  <c r="B364" i="1"/>
  <c r="M363" i="1"/>
  <c r="N363" i="1" s="1"/>
  <c r="C363" i="1"/>
  <c r="B363" i="1"/>
  <c r="M362" i="1"/>
  <c r="N362" i="1" s="1"/>
  <c r="C362" i="1"/>
  <c r="B362" i="1"/>
  <c r="M361" i="1"/>
  <c r="N361" i="1" s="1"/>
  <c r="C361" i="1"/>
  <c r="B361" i="1"/>
  <c r="M360" i="1"/>
  <c r="N360" i="1" s="1"/>
  <c r="C360" i="1"/>
  <c r="B360" i="1"/>
  <c r="M359" i="1"/>
  <c r="N359" i="1" s="1"/>
  <c r="C359" i="1"/>
  <c r="B359" i="1"/>
  <c r="M358" i="1"/>
  <c r="N358" i="1" s="1"/>
  <c r="C358" i="1"/>
  <c r="B358" i="1"/>
  <c r="M357" i="1"/>
  <c r="N357" i="1" s="1"/>
  <c r="C357" i="1"/>
  <c r="B357" i="1"/>
  <c r="M355" i="1"/>
  <c r="N355" i="1" s="1"/>
  <c r="C355" i="1"/>
  <c r="B355" i="1"/>
  <c r="M356" i="1"/>
  <c r="N356" i="1" s="1"/>
  <c r="C356" i="1"/>
  <c r="B356" i="1"/>
  <c r="M354" i="1"/>
  <c r="N354" i="1" s="1"/>
  <c r="C354" i="1"/>
  <c r="B354" i="1"/>
  <c r="M353" i="1"/>
  <c r="N353" i="1" s="1"/>
  <c r="C353" i="1"/>
  <c r="B353" i="1"/>
  <c r="M352" i="1"/>
  <c r="N352" i="1" s="1"/>
  <c r="C352" i="1"/>
  <c r="B352" i="1"/>
  <c r="M351" i="1"/>
  <c r="N351" i="1" s="1"/>
  <c r="C351" i="1"/>
  <c r="B351" i="1"/>
  <c r="M350" i="1"/>
  <c r="N350" i="1" s="1"/>
  <c r="C350" i="1"/>
  <c r="B350" i="1"/>
  <c r="M348" i="1"/>
  <c r="N348" i="1" s="1"/>
  <c r="C348" i="1"/>
  <c r="B348" i="1"/>
  <c r="M349" i="1"/>
  <c r="N349" i="1" s="1"/>
  <c r="C349" i="1"/>
  <c r="B349" i="1"/>
  <c r="M347" i="1"/>
  <c r="N347" i="1" s="1"/>
  <c r="C347" i="1"/>
  <c r="B347" i="1"/>
  <c r="M346" i="1"/>
  <c r="N346" i="1" s="1"/>
  <c r="C346" i="1"/>
  <c r="B346" i="1"/>
  <c r="M345" i="1"/>
  <c r="N345" i="1" s="1"/>
  <c r="C345" i="1"/>
  <c r="B345" i="1"/>
  <c r="M344" i="1"/>
  <c r="N344" i="1" s="1"/>
  <c r="C344" i="1"/>
  <c r="B344" i="1"/>
  <c r="M342" i="1"/>
  <c r="N342" i="1" s="1"/>
  <c r="C342" i="1"/>
  <c r="B342" i="1"/>
  <c r="M343" i="1"/>
  <c r="N343" i="1" s="1"/>
  <c r="C343" i="1"/>
  <c r="B343" i="1"/>
  <c r="M341" i="1"/>
  <c r="N341" i="1" s="1"/>
  <c r="C341" i="1"/>
  <c r="B341" i="1"/>
  <c r="M340" i="1"/>
  <c r="N340" i="1" s="1"/>
  <c r="C340" i="1"/>
  <c r="B340" i="1"/>
  <c r="M339" i="1"/>
  <c r="N339" i="1" s="1"/>
  <c r="C339" i="1"/>
  <c r="B339" i="1"/>
  <c r="M338" i="1"/>
  <c r="N338" i="1" s="1"/>
  <c r="C338" i="1"/>
  <c r="B338" i="1"/>
  <c r="M337" i="1"/>
  <c r="N337" i="1" s="1"/>
  <c r="C337" i="1"/>
  <c r="B337" i="1"/>
  <c r="M336" i="1"/>
  <c r="N336" i="1" s="1"/>
  <c r="C336" i="1"/>
  <c r="B336" i="1"/>
  <c r="M335" i="1"/>
  <c r="N335" i="1" s="1"/>
  <c r="C335" i="1"/>
  <c r="B335" i="1"/>
  <c r="M334" i="1"/>
  <c r="N334" i="1" s="1"/>
  <c r="C334" i="1"/>
  <c r="B334" i="1"/>
  <c r="M331" i="1"/>
  <c r="N331" i="1" s="1"/>
  <c r="C331" i="1"/>
  <c r="B331" i="1"/>
  <c r="M333" i="1"/>
  <c r="N333" i="1" s="1"/>
  <c r="C333" i="1"/>
  <c r="B333" i="1"/>
  <c r="M332" i="1"/>
  <c r="N332" i="1" s="1"/>
  <c r="C332" i="1"/>
  <c r="B332" i="1"/>
  <c r="M330" i="1"/>
  <c r="N330" i="1" s="1"/>
  <c r="C330" i="1"/>
  <c r="B330" i="1"/>
  <c r="M329" i="1"/>
  <c r="N329" i="1" s="1"/>
  <c r="C329" i="1"/>
  <c r="B329" i="1"/>
  <c r="M328" i="1"/>
  <c r="N328" i="1" s="1"/>
  <c r="C328" i="1"/>
  <c r="B328" i="1"/>
  <c r="M327" i="1"/>
  <c r="N327" i="1" s="1"/>
  <c r="C327" i="1"/>
  <c r="B327" i="1"/>
  <c r="M326" i="1"/>
  <c r="N326" i="1" s="1"/>
  <c r="C326" i="1"/>
  <c r="B326" i="1"/>
  <c r="M325" i="1"/>
  <c r="N325" i="1" s="1"/>
  <c r="C325" i="1"/>
  <c r="B325" i="1"/>
  <c r="M324" i="1"/>
  <c r="N324" i="1" s="1"/>
  <c r="C324" i="1"/>
  <c r="B324" i="1"/>
  <c r="M323" i="1"/>
  <c r="N323" i="1" s="1"/>
  <c r="C323" i="1"/>
  <c r="B323" i="1"/>
  <c r="M322" i="1"/>
  <c r="N322" i="1" s="1"/>
  <c r="C322" i="1"/>
  <c r="B322" i="1"/>
  <c r="M321" i="1"/>
  <c r="N321" i="1" s="1"/>
  <c r="C321" i="1"/>
  <c r="B321" i="1"/>
  <c r="M320" i="1"/>
  <c r="N320" i="1" s="1"/>
  <c r="C320" i="1"/>
  <c r="B320" i="1"/>
  <c r="M318" i="1"/>
  <c r="N318" i="1" s="1"/>
  <c r="C318" i="1"/>
  <c r="B318" i="1"/>
  <c r="M319" i="1"/>
  <c r="N319" i="1" s="1"/>
  <c r="C319" i="1"/>
  <c r="B319" i="1"/>
  <c r="M317" i="1"/>
  <c r="N317" i="1" s="1"/>
  <c r="C317" i="1"/>
  <c r="B317" i="1"/>
  <c r="M316" i="1"/>
  <c r="N316" i="1" s="1"/>
  <c r="C316" i="1"/>
  <c r="B316" i="1"/>
  <c r="M315" i="1"/>
  <c r="N315" i="1" s="1"/>
  <c r="C315" i="1"/>
  <c r="B315" i="1"/>
  <c r="M314" i="1"/>
  <c r="N314" i="1" s="1"/>
  <c r="C314" i="1"/>
  <c r="B314" i="1"/>
  <c r="M313" i="1"/>
  <c r="N313" i="1" s="1"/>
  <c r="C313" i="1"/>
  <c r="B313" i="1"/>
  <c r="M312" i="1"/>
  <c r="N312" i="1" s="1"/>
  <c r="C312" i="1"/>
  <c r="B312" i="1"/>
  <c r="M311" i="1"/>
  <c r="N311" i="1" s="1"/>
  <c r="C311" i="1"/>
  <c r="B311" i="1"/>
  <c r="M310" i="1"/>
  <c r="N310" i="1" s="1"/>
  <c r="C310" i="1"/>
  <c r="B310" i="1"/>
  <c r="M309" i="1"/>
  <c r="N309" i="1" s="1"/>
  <c r="C309" i="1"/>
  <c r="B309" i="1"/>
  <c r="M308" i="1"/>
  <c r="N308" i="1" s="1"/>
  <c r="C308" i="1"/>
  <c r="B308" i="1"/>
  <c r="M307" i="1"/>
  <c r="N307" i="1" s="1"/>
  <c r="C307" i="1"/>
  <c r="B307" i="1"/>
  <c r="M306" i="1"/>
  <c r="N306" i="1" s="1"/>
  <c r="C306" i="1"/>
  <c r="B306" i="1"/>
  <c r="M305" i="1"/>
  <c r="N305" i="1" s="1"/>
  <c r="C305" i="1"/>
  <c r="B305" i="1"/>
  <c r="M304" i="1"/>
  <c r="N304" i="1" s="1"/>
  <c r="C304" i="1"/>
  <c r="B304" i="1"/>
  <c r="M303" i="1"/>
  <c r="N303" i="1" s="1"/>
  <c r="C303" i="1"/>
  <c r="B303" i="1"/>
  <c r="M302" i="1"/>
  <c r="N302" i="1" s="1"/>
  <c r="C302" i="1"/>
  <c r="B302" i="1"/>
  <c r="M301" i="1"/>
  <c r="N301" i="1" s="1"/>
  <c r="C301" i="1"/>
  <c r="B301" i="1"/>
  <c r="M300" i="1"/>
  <c r="N300" i="1" s="1"/>
  <c r="C300" i="1"/>
  <c r="B300" i="1"/>
  <c r="M299" i="1"/>
  <c r="N299" i="1" s="1"/>
  <c r="C299" i="1"/>
  <c r="B299" i="1"/>
  <c r="M298" i="1"/>
  <c r="N298" i="1" s="1"/>
  <c r="C298" i="1"/>
  <c r="B298" i="1"/>
  <c r="M297" i="1"/>
  <c r="N297" i="1" s="1"/>
  <c r="C297" i="1"/>
  <c r="B297" i="1"/>
  <c r="M296" i="1"/>
  <c r="N296" i="1" s="1"/>
  <c r="C296" i="1"/>
  <c r="B296" i="1"/>
  <c r="M295" i="1"/>
  <c r="N295" i="1" s="1"/>
  <c r="C295" i="1"/>
  <c r="B295" i="1"/>
  <c r="M294" i="1"/>
  <c r="N294" i="1" s="1"/>
  <c r="C294" i="1"/>
  <c r="B294" i="1"/>
  <c r="M293" i="1"/>
  <c r="N293" i="1" s="1"/>
  <c r="C293" i="1"/>
  <c r="B293" i="1"/>
  <c r="M292" i="1"/>
  <c r="N292" i="1" s="1"/>
  <c r="C292" i="1"/>
  <c r="B292" i="1"/>
  <c r="M291" i="1"/>
  <c r="N291" i="1" s="1"/>
  <c r="C291" i="1"/>
  <c r="B291" i="1"/>
  <c r="M290" i="1"/>
  <c r="N290" i="1" s="1"/>
  <c r="C290" i="1"/>
  <c r="B290" i="1"/>
  <c r="M289" i="1"/>
  <c r="N289" i="1" s="1"/>
  <c r="C289" i="1"/>
  <c r="B289" i="1"/>
  <c r="M288" i="1"/>
  <c r="N288" i="1" s="1"/>
  <c r="C288" i="1"/>
  <c r="B288" i="1"/>
  <c r="M287" i="1"/>
  <c r="N287" i="1" s="1"/>
  <c r="C287" i="1"/>
  <c r="B287" i="1"/>
  <c r="M286" i="1"/>
  <c r="N286" i="1" s="1"/>
  <c r="C286" i="1"/>
  <c r="B286" i="1"/>
  <c r="M285" i="1"/>
  <c r="N285" i="1" s="1"/>
  <c r="C285" i="1"/>
  <c r="B285" i="1"/>
  <c r="M284" i="1"/>
  <c r="N284" i="1" s="1"/>
  <c r="C284" i="1"/>
  <c r="B284" i="1"/>
  <c r="M283" i="1"/>
  <c r="N283" i="1" s="1"/>
  <c r="C283" i="1"/>
  <c r="B283" i="1"/>
  <c r="M282" i="1"/>
  <c r="N282" i="1" s="1"/>
  <c r="C282" i="1"/>
  <c r="B282" i="1"/>
  <c r="M281" i="1"/>
  <c r="N281" i="1" s="1"/>
  <c r="C281" i="1"/>
  <c r="B281" i="1"/>
  <c r="M280" i="1"/>
  <c r="N280" i="1" s="1"/>
  <c r="C280" i="1"/>
  <c r="B280" i="1"/>
  <c r="M279" i="1"/>
  <c r="N279" i="1" s="1"/>
  <c r="C279" i="1"/>
  <c r="B279" i="1"/>
  <c r="M278" i="1"/>
  <c r="N278" i="1" s="1"/>
  <c r="C278" i="1"/>
  <c r="B278" i="1"/>
  <c r="M277" i="1"/>
  <c r="N277" i="1" s="1"/>
  <c r="C277" i="1"/>
  <c r="B277" i="1"/>
  <c r="M276" i="1"/>
  <c r="N276" i="1" s="1"/>
  <c r="C276" i="1"/>
  <c r="B276" i="1"/>
  <c r="M275" i="1"/>
  <c r="N275" i="1" s="1"/>
  <c r="C275" i="1"/>
  <c r="B275" i="1"/>
  <c r="M274" i="1"/>
  <c r="N274" i="1" s="1"/>
  <c r="C274" i="1"/>
  <c r="B274" i="1"/>
  <c r="M273" i="1"/>
  <c r="N273" i="1" s="1"/>
  <c r="C273" i="1"/>
  <c r="B273" i="1"/>
  <c r="M272" i="1"/>
  <c r="N272" i="1" s="1"/>
  <c r="C272" i="1"/>
  <c r="B272" i="1"/>
  <c r="M271" i="1"/>
  <c r="N271" i="1" s="1"/>
  <c r="C271" i="1"/>
  <c r="B271" i="1"/>
  <c r="M270" i="1"/>
  <c r="N270" i="1" s="1"/>
  <c r="C270" i="1"/>
  <c r="B270" i="1"/>
  <c r="M269" i="1"/>
  <c r="N269" i="1" s="1"/>
  <c r="C269" i="1"/>
  <c r="B269" i="1"/>
  <c r="M268" i="1"/>
  <c r="N268" i="1" s="1"/>
  <c r="C268" i="1"/>
  <c r="B268" i="1"/>
  <c r="M267" i="1"/>
  <c r="N267" i="1" s="1"/>
  <c r="C267" i="1"/>
  <c r="B267" i="1"/>
  <c r="M266" i="1"/>
  <c r="N266" i="1" s="1"/>
  <c r="C266" i="1"/>
  <c r="B266" i="1"/>
  <c r="M264" i="1"/>
  <c r="N264" i="1" s="1"/>
  <c r="C264" i="1"/>
  <c r="B264" i="1"/>
  <c r="M265" i="1"/>
  <c r="N265" i="1" s="1"/>
  <c r="C265" i="1"/>
  <c r="B265" i="1"/>
  <c r="M263" i="1"/>
  <c r="N263" i="1" s="1"/>
  <c r="C263" i="1"/>
  <c r="B263" i="1"/>
  <c r="M262" i="1"/>
  <c r="N262" i="1" s="1"/>
  <c r="C262" i="1"/>
  <c r="B262" i="1"/>
  <c r="M261" i="1"/>
  <c r="N261" i="1" s="1"/>
  <c r="C261" i="1"/>
  <c r="B261" i="1"/>
  <c r="M260" i="1"/>
  <c r="N260" i="1" s="1"/>
  <c r="C260" i="1"/>
  <c r="B260" i="1"/>
  <c r="M259" i="1"/>
  <c r="N259" i="1" s="1"/>
  <c r="C259" i="1"/>
  <c r="B259" i="1"/>
  <c r="M258" i="1"/>
  <c r="N258" i="1" s="1"/>
  <c r="C258" i="1"/>
  <c r="B258" i="1"/>
  <c r="M257" i="1"/>
  <c r="N257" i="1" s="1"/>
  <c r="C257" i="1"/>
  <c r="B257" i="1"/>
  <c r="M256" i="1"/>
  <c r="N256" i="1" s="1"/>
  <c r="C256" i="1"/>
  <c r="B256" i="1"/>
  <c r="M255" i="1"/>
  <c r="N255" i="1" s="1"/>
  <c r="C255" i="1"/>
  <c r="B255" i="1"/>
  <c r="M254" i="1"/>
  <c r="N254" i="1" s="1"/>
  <c r="C254" i="1"/>
  <c r="B254" i="1"/>
  <c r="M253" i="1"/>
  <c r="N253" i="1" s="1"/>
  <c r="C253" i="1"/>
  <c r="B253" i="1"/>
  <c r="M252" i="1"/>
  <c r="N252" i="1" s="1"/>
  <c r="C252" i="1"/>
  <c r="B252" i="1"/>
  <c r="M251" i="1"/>
  <c r="N251" i="1" s="1"/>
  <c r="C251" i="1"/>
  <c r="B251" i="1"/>
  <c r="M250" i="1"/>
  <c r="N250" i="1" s="1"/>
  <c r="C250" i="1"/>
  <c r="B250" i="1"/>
  <c r="M249" i="1"/>
  <c r="N249" i="1" s="1"/>
  <c r="C249" i="1"/>
  <c r="B249" i="1"/>
  <c r="M248" i="1"/>
  <c r="N248" i="1" s="1"/>
  <c r="C248" i="1"/>
  <c r="B248" i="1"/>
  <c r="M247" i="1"/>
  <c r="N247" i="1" s="1"/>
  <c r="C247" i="1"/>
  <c r="B247" i="1"/>
  <c r="M246" i="1"/>
  <c r="N246" i="1" s="1"/>
  <c r="C246" i="1"/>
  <c r="B246" i="1"/>
  <c r="M245" i="1"/>
  <c r="N245" i="1" s="1"/>
  <c r="C245" i="1"/>
  <c r="B245" i="1"/>
  <c r="M244" i="1"/>
  <c r="N244" i="1" s="1"/>
  <c r="C244" i="1"/>
  <c r="B244" i="1"/>
  <c r="M243" i="1"/>
  <c r="N243" i="1" s="1"/>
  <c r="C243" i="1"/>
  <c r="B243" i="1"/>
  <c r="M242" i="1"/>
  <c r="N242" i="1" s="1"/>
  <c r="C242" i="1"/>
  <c r="B242" i="1"/>
  <c r="M241" i="1"/>
  <c r="N241" i="1" s="1"/>
  <c r="C241" i="1"/>
  <c r="B241" i="1"/>
  <c r="M240" i="1"/>
  <c r="N240" i="1" s="1"/>
  <c r="C240" i="1"/>
  <c r="B240" i="1"/>
  <c r="M239" i="1"/>
  <c r="N239" i="1" s="1"/>
  <c r="C239" i="1"/>
  <c r="B239" i="1"/>
  <c r="M238" i="1"/>
  <c r="N238" i="1" s="1"/>
  <c r="C238" i="1"/>
  <c r="B238" i="1"/>
  <c r="M237" i="1"/>
  <c r="N237" i="1" s="1"/>
  <c r="C237" i="1"/>
  <c r="B237" i="1"/>
  <c r="M236" i="1"/>
  <c r="N236" i="1" s="1"/>
  <c r="C236" i="1"/>
  <c r="B236" i="1"/>
  <c r="M235" i="1"/>
  <c r="N235" i="1" s="1"/>
  <c r="C235" i="1"/>
  <c r="B235" i="1"/>
  <c r="M234" i="1"/>
  <c r="N234" i="1" s="1"/>
  <c r="C234" i="1"/>
  <c r="B234" i="1"/>
  <c r="M233" i="1"/>
  <c r="N233" i="1" s="1"/>
  <c r="C233" i="1"/>
  <c r="B233" i="1"/>
  <c r="M232" i="1"/>
  <c r="N232" i="1" s="1"/>
  <c r="C232" i="1"/>
  <c r="B232" i="1"/>
  <c r="M231" i="1"/>
  <c r="N231" i="1" s="1"/>
  <c r="C231" i="1"/>
  <c r="B231" i="1"/>
  <c r="M230" i="1"/>
  <c r="N230" i="1" s="1"/>
  <c r="C230" i="1"/>
  <c r="B230" i="1"/>
  <c r="M229" i="1"/>
  <c r="N229" i="1" s="1"/>
  <c r="C229" i="1"/>
  <c r="B229" i="1"/>
  <c r="M228" i="1"/>
  <c r="N228" i="1" s="1"/>
  <c r="C228" i="1"/>
  <c r="B228" i="1"/>
  <c r="M227" i="1"/>
  <c r="N227" i="1" s="1"/>
  <c r="C227" i="1"/>
  <c r="B227" i="1"/>
  <c r="M226" i="1"/>
  <c r="N226" i="1" s="1"/>
  <c r="C226" i="1"/>
  <c r="B226" i="1"/>
  <c r="M225" i="1"/>
  <c r="N225" i="1" s="1"/>
  <c r="C225" i="1"/>
  <c r="B225" i="1"/>
  <c r="M224" i="1"/>
  <c r="N224" i="1" s="1"/>
  <c r="C224" i="1"/>
  <c r="B224" i="1"/>
  <c r="M223" i="1"/>
  <c r="N223" i="1" s="1"/>
  <c r="C223" i="1"/>
  <c r="B223" i="1"/>
  <c r="M222" i="1"/>
  <c r="N222" i="1" s="1"/>
  <c r="C222" i="1"/>
  <c r="B222" i="1"/>
  <c r="M221" i="1"/>
  <c r="N221" i="1" s="1"/>
  <c r="C221" i="1"/>
  <c r="B221" i="1"/>
  <c r="M220" i="1"/>
  <c r="N220" i="1" s="1"/>
  <c r="C220" i="1"/>
  <c r="B220" i="1"/>
  <c r="M219" i="1"/>
  <c r="N219" i="1" s="1"/>
  <c r="C219" i="1"/>
  <c r="B219" i="1"/>
  <c r="M218" i="1"/>
  <c r="N218" i="1" s="1"/>
  <c r="C218" i="1"/>
  <c r="B218" i="1"/>
  <c r="M217" i="1"/>
  <c r="N217" i="1" s="1"/>
  <c r="C217" i="1"/>
  <c r="B217" i="1"/>
  <c r="M216" i="1"/>
  <c r="N216" i="1" s="1"/>
  <c r="C216" i="1"/>
  <c r="B216" i="1"/>
  <c r="M215" i="1"/>
  <c r="N215" i="1" s="1"/>
  <c r="C215" i="1"/>
  <c r="B215" i="1"/>
  <c r="M214" i="1"/>
  <c r="N214" i="1" s="1"/>
  <c r="C214" i="1"/>
  <c r="B214" i="1"/>
  <c r="M213" i="1"/>
  <c r="N213" i="1" s="1"/>
  <c r="C213" i="1"/>
  <c r="B213" i="1"/>
  <c r="M212" i="1"/>
  <c r="N212" i="1" s="1"/>
  <c r="C212" i="1"/>
  <c r="B212" i="1"/>
  <c r="M211" i="1"/>
  <c r="N211" i="1" s="1"/>
  <c r="C211" i="1"/>
  <c r="B211" i="1"/>
  <c r="M210" i="1"/>
  <c r="N210" i="1" s="1"/>
  <c r="C210" i="1"/>
  <c r="B210" i="1"/>
  <c r="M209" i="1"/>
  <c r="N209" i="1" s="1"/>
  <c r="C209" i="1"/>
  <c r="B209" i="1"/>
  <c r="M208" i="1"/>
  <c r="N208" i="1" s="1"/>
  <c r="C208" i="1"/>
  <c r="B208" i="1"/>
  <c r="M207" i="1"/>
  <c r="N207" i="1" s="1"/>
  <c r="C207" i="1"/>
  <c r="B207" i="1"/>
  <c r="M206" i="1"/>
  <c r="N206" i="1" s="1"/>
  <c r="C206" i="1"/>
  <c r="B206" i="1"/>
  <c r="M205" i="1"/>
  <c r="N205" i="1" s="1"/>
  <c r="C205" i="1"/>
  <c r="B205" i="1"/>
  <c r="M204" i="1"/>
  <c r="N204" i="1" s="1"/>
  <c r="C204" i="1"/>
  <c r="B204" i="1"/>
  <c r="M202" i="1"/>
  <c r="N202" i="1" s="1"/>
  <c r="C202" i="1"/>
  <c r="B202" i="1"/>
  <c r="M201" i="1"/>
  <c r="N201" i="1" s="1"/>
  <c r="C201" i="1"/>
  <c r="B201" i="1"/>
  <c r="M203" i="1"/>
  <c r="N203" i="1" s="1"/>
  <c r="C203" i="1"/>
  <c r="B203" i="1"/>
  <c r="M200" i="1"/>
  <c r="N200" i="1" s="1"/>
  <c r="C200" i="1"/>
  <c r="B200" i="1"/>
  <c r="M199" i="1"/>
  <c r="N199" i="1" s="1"/>
  <c r="C199" i="1"/>
  <c r="B199" i="1"/>
  <c r="M198" i="1"/>
  <c r="N198" i="1" s="1"/>
  <c r="C198" i="1"/>
  <c r="B198" i="1"/>
  <c r="M197" i="1"/>
  <c r="N197" i="1" s="1"/>
  <c r="C197" i="1"/>
  <c r="B197" i="1"/>
  <c r="M195" i="1"/>
  <c r="N195" i="1" s="1"/>
  <c r="C195" i="1"/>
  <c r="B195" i="1"/>
  <c r="M194" i="1"/>
  <c r="N194" i="1" s="1"/>
  <c r="C194" i="1"/>
  <c r="B194" i="1"/>
  <c r="M193" i="1"/>
  <c r="N193" i="1" s="1"/>
  <c r="C193" i="1"/>
  <c r="B193" i="1"/>
  <c r="M196" i="1"/>
  <c r="N196" i="1" s="1"/>
  <c r="C196" i="1"/>
  <c r="B196" i="1"/>
  <c r="M192" i="1"/>
  <c r="N192" i="1" s="1"/>
  <c r="C192" i="1"/>
  <c r="B192" i="1"/>
  <c r="M191" i="1"/>
  <c r="N191" i="1" s="1"/>
  <c r="C191" i="1"/>
  <c r="B191" i="1"/>
  <c r="M190" i="1"/>
  <c r="N190" i="1" s="1"/>
  <c r="C190" i="1"/>
  <c r="B190" i="1"/>
  <c r="M189" i="1"/>
  <c r="N189" i="1" s="1"/>
  <c r="C189" i="1"/>
  <c r="B189" i="1"/>
  <c r="M188" i="1"/>
  <c r="N188" i="1" s="1"/>
  <c r="C188" i="1"/>
  <c r="B188" i="1"/>
  <c r="M187" i="1"/>
  <c r="N187" i="1" s="1"/>
  <c r="C187" i="1"/>
  <c r="B187" i="1"/>
  <c r="M186" i="1"/>
  <c r="N186" i="1" s="1"/>
  <c r="C186" i="1"/>
  <c r="B186" i="1"/>
  <c r="M185" i="1"/>
  <c r="N185" i="1" s="1"/>
  <c r="C185" i="1"/>
  <c r="B185" i="1"/>
  <c r="M184" i="1"/>
  <c r="N184" i="1" s="1"/>
  <c r="C184" i="1"/>
  <c r="B184" i="1"/>
  <c r="M183" i="1"/>
  <c r="N183" i="1" s="1"/>
  <c r="C183" i="1"/>
  <c r="B183" i="1"/>
  <c r="M182" i="1"/>
  <c r="N182" i="1" s="1"/>
  <c r="C182" i="1"/>
  <c r="B182" i="1"/>
  <c r="M181" i="1"/>
  <c r="N181" i="1" s="1"/>
  <c r="C181" i="1"/>
  <c r="B181" i="1"/>
  <c r="M180" i="1"/>
  <c r="N180" i="1" s="1"/>
  <c r="C180" i="1"/>
  <c r="B180" i="1"/>
  <c r="M179" i="1"/>
  <c r="N179" i="1" s="1"/>
  <c r="C179" i="1"/>
  <c r="B179" i="1"/>
  <c r="M178" i="1"/>
  <c r="N178" i="1" s="1"/>
  <c r="C178" i="1"/>
  <c r="B178" i="1"/>
  <c r="M177" i="1"/>
  <c r="N177" i="1" s="1"/>
  <c r="C177" i="1"/>
  <c r="B177" i="1"/>
  <c r="M176" i="1"/>
  <c r="N176" i="1" s="1"/>
  <c r="C176" i="1"/>
  <c r="B176" i="1"/>
  <c r="M174" i="1"/>
  <c r="N174" i="1" s="1"/>
  <c r="C174" i="1"/>
  <c r="B174" i="1"/>
  <c r="M175" i="1"/>
  <c r="N175" i="1" s="1"/>
  <c r="C175" i="1"/>
  <c r="B175" i="1"/>
  <c r="M173" i="1"/>
  <c r="N173" i="1" s="1"/>
  <c r="C173" i="1"/>
  <c r="B173" i="1"/>
  <c r="M172" i="1"/>
  <c r="N172" i="1" s="1"/>
  <c r="C172" i="1"/>
  <c r="B172" i="1"/>
  <c r="M171" i="1"/>
  <c r="N171" i="1" s="1"/>
  <c r="C171" i="1"/>
  <c r="B171" i="1"/>
  <c r="M170" i="1"/>
  <c r="N170" i="1" s="1"/>
  <c r="C170" i="1"/>
  <c r="B170" i="1"/>
  <c r="M169" i="1"/>
  <c r="N169" i="1" s="1"/>
  <c r="C169" i="1"/>
  <c r="B169" i="1"/>
  <c r="M168" i="1"/>
  <c r="N168" i="1" s="1"/>
  <c r="C168" i="1"/>
  <c r="B168" i="1"/>
  <c r="M167" i="1"/>
  <c r="N167" i="1" s="1"/>
  <c r="C167" i="1"/>
  <c r="B167" i="1"/>
  <c r="M166" i="1"/>
  <c r="N166" i="1" s="1"/>
  <c r="C166" i="1"/>
  <c r="B166" i="1"/>
  <c r="M165" i="1"/>
  <c r="N165" i="1" s="1"/>
  <c r="C165" i="1"/>
  <c r="B165" i="1"/>
  <c r="M164" i="1"/>
  <c r="N164" i="1" s="1"/>
  <c r="C164" i="1"/>
  <c r="B164" i="1"/>
  <c r="M163" i="1"/>
  <c r="N163" i="1" s="1"/>
  <c r="C163" i="1"/>
  <c r="B163" i="1"/>
  <c r="M162" i="1"/>
  <c r="N162" i="1" s="1"/>
  <c r="C162" i="1"/>
  <c r="B162" i="1"/>
  <c r="M161" i="1"/>
  <c r="N161" i="1" s="1"/>
  <c r="C161" i="1"/>
  <c r="B161" i="1"/>
  <c r="M160" i="1"/>
  <c r="N160" i="1" s="1"/>
  <c r="C160" i="1"/>
  <c r="B160" i="1"/>
  <c r="M158" i="1"/>
  <c r="N158" i="1" s="1"/>
  <c r="C158" i="1"/>
  <c r="B158" i="1"/>
  <c r="M159" i="1"/>
  <c r="N159" i="1" s="1"/>
  <c r="C159" i="1"/>
  <c r="B159" i="1"/>
  <c r="M157" i="1"/>
  <c r="N157" i="1" s="1"/>
  <c r="C157" i="1"/>
  <c r="B157" i="1"/>
  <c r="M156" i="1"/>
  <c r="N156" i="1" s="1"/>
  <c r="C156" i="1"/>
  <c r="B156" i="1"/>
  <c r="M155" i="1"/>
  <c r="N155" i="1" s="1"/>
  <c r="C155" i="1"/>
  <c r="B155" i="1"/>
  <c r="M154" i="1"/>
  <c r="N154" i="1" s="1"/>
  <c r="C154" i="1"/>
  <c r="B154" i="1"/>
  <c r="M153" i="1"/>
  <c r="N153" i="1" s="1"/>
  <c r="C153" i="1"/>
  <c r="B153" i="1"/>
  <c r="M152" i="1"/>
  <c r="N152" i="1" s="1"/>
  <c r="C152" i="1"/>
  <c r="B152" i="1"/>
  <c r="M151" i="1"/>
  <c r="N151" i="1" s="1"/>
  <c r="C151" i="1"/>
  <c r="B151" i="1"/>
  <c r="M150" i="1"/>
  <c r="N150" i="1" s="1"/>
  <c r="C150" i="1"/>
  <c r="B150" i="1"/>
  <c r="M149" i="1"/>
  <c r="N149" i="1" s="1"/>
  <c r="C149" i="1"/>
  <c r="B149" i="1"/>
  <c r="M147" i="1"/>
  <c r="N147" i="1" s="1"/>
  <c r="C147" i="1"/>
  <c r="B147" i="1"/>
  <c r="M146" i="1"/>
  <c r="N146" i="1" s="1"/>
  <c r="C146" i="1"/>
  <c r="B146" i="1"/>
  <c r="M145" i="1"/>
  <c r="N145" i="1" s="1"/>
  <c r="C145" i="1"/>
  <c r="B145" i="1"/>
  <c r="M148" i="1"/>
  <c r="N148" i="1" s="1"/>
  <c r="C148" i="1"/>
  <c r="B148" i="1"/>
  <c r="M144" i="1"/>
  <c r="N144" i="1" s="1"/>
  <c r="C144" i="1"/>
  <c r="B144" i="1"/>
  <c r="M143" i="1"/>
  <c r="N143" i="1" s="1"/>
  <c r="C143" i="1"/>
  <c r="B143" i="1"/>
  <c r="M142" i="1"/>
  <c r="N142" i="1" s="1"/>
  <c r="C142" i="1"/>
  <c r="B142" i="1"/>
  <c r="M140" i="1"/>
  <c r="N140" i="1" s="1"/>
  <c r="C140" i="1"/>
  <c r="B140" i="1"/>
  <c r="M141" i="1"/>
  <c r="N141" i="1" s="1"/>
  <c r="C141" i="1"/>
  <c r="B141" i="1"/>
  <c r="M139" i="1"/>
  <c r="N139" i="1" s="1"/>
  <c r="C139" i="1"/>
  <c r="B139" i="1"/>
  <c r="M138" i="1"/>
  <c r="N138" i="1" s="1"/>
  <c r="C138" i="1"/>
  <c r="B138" i="1"/>
  <c r="M137" i="1"/>
  <c r="N137" i="1" s="1"/>
  <c r="C137" i="1"/>
  <c r="B137" i="1"/>
  <c r="M135" i="1"/>
  <c r="N135" i="1" s="1"/>
  <c r="C135" i="1"/>
  <c r="B135" i="1"/>
  <c r="M136" i="1"/>
  <c r="N136" i="1" s="1"/>
  <c r="C136" i="1"/>
  <c r="B136" i="1"/>
  <c r="M134" i="1"/>
  <c r="N134" i="1" s="1"/>
  <c r="C134" i="1"/>
  <c r="B134" i="1"/>
  <c r="M133" i="1"/>
  <c r="N133" i="1" s="1"/>
  <c r="C133" i="1"/>
  <c r="B133" i="1"/>
  <c r="M131" i="1"/>
  <c r="N131" i="1" s="1"/>
  <c r="C131" i="1"/>
  <c r="B131" i="1"/>
  <c r="M132" i="1"/>
  <c r="N132" i="1" s="1"/>
  <c r="C132" i="1"/>
  <c r="B132" i="1"/>
  <c r="M130" i="1"/>
  <c r="N130" i="1" s="1"/>
  <c r="C130" i="1"/>
  <c r="B130" i="1"/>
  <c r="M129" i="1"/>
  <c r="N129" i="1" s="1"/>
  <c r="C129" i="1"/>
  <c r="B129" i="1"/>
  <c r="M128" i="1"/>
  <c r="N128" i="1" s="1"/>
  <c r="C128" i="1"/>
  <c r="B128" i="1"/>
  <c r="M127" i="1"/>
  <c r="N127" i="1" s="1"/>
  <c r="C127" i="1"/>
  <c r="B127" i="1"/>
  <c r="M126" i="1"/>
  <c r="N126" i="1" s="1"/>
  <c r="C126" i="1"/>
  <c r="B126" i="1"/>
  <c r="M125" i="1"/>
  <c r="N125" i="1" s="1"/>
  <c r="C125" i="1"/>
  <c r="B125" i="1"/>
  <c r="M124" i="1"/>
  <c r="N124" i="1" s="1"/>
  <c r="C124" i="1"/>
  <c r="B124" i="1"/>
  <c r="M123" i="1"/>
  <c r="N123" i="1" s="1"/>
  <c r="C123" i="1"/>
  <c r="B123" i="1"/>
  <c r="M122" i="1"/>
  <c r="N122" i="1" s="1"/>
  <c r="C122" i="1"/>
  <c r="B122" i="1"/>
  <c r="M121" i="1"/>
  <c r="N121" i="1" s="1"/>
  <c r="C121" i="1"/>
  <c r="B121" i="1"/>
  <c r="M120" i="1"/>
  <c r="N120" i="1" s="1"/>
  <c r="C120" i="1"/>
  <c r="B120" i="1"/>
  <c r="M119" i="1"/>
  <c r="N119" i="1" s="1"/>
  <c r="C119" i="1"/>
  <c r="B119" i="1"/>
  <c r="M117" i="1"/>
  <c r="N117" i="1" s="1"/>
  <c r="C117" i="1"/>
  <c r="B117" i="1"/>
  <c r="M118" i="1"/>
  <c r="N118" i="1" s="1"/>
  <c r="C118" i="1"/>
  <c r="B118" i="1"/>
  <c r="M116" i="1"/>
  <c r="N116" i="1" s="1"/>
  <c r="C116" i="1"/>
  <c r="B116" i="1"/>
  <c r="M115" i="1"/>
  <c r="N115" i="1" s="1"/>
  <c r="C115" i="1"/>
  <c r="B115" i="1"/>
  <c r="M114" i="1"/>
  <c r="N114" i="1" s="1"/>
  <c r="C114" i="1"/>
  <c r="B114" i="1"/>
  <c r="M112" i="1"/>
  <c r="N112" i="1" s="1"/>
  <c r="C112" i="1"/>
  <c r="B112" i="1"/>
  <c r="M113" i="1"/>
  <c r="N113" i="1" s="1"/>
  <c r="C113" i="1"/>
  <c r="B113" i="1"/>
  <c r="M111" i="1"/>
  <c r="N111" i="1" s="1"/>
  <c r="C111" i="1"/>
  <c r="B111" i="1"/>
  <c r="M110" i="1"/>
  <c r="N110" i="1" s="1"/>
  <c r="C110" i="1"/>
  <c r="B110" i="1"/>
  <c r="M109" i="1"/>
  <c r="N109" i="1" s="1"/>
  <c r="C109" i="1"/>
  <c r="B109" i="1"/>
  <c r="M108" i="1"/>
  <c r="N108" i="1" s="1"/>
  <c r="C108" i="1"/>
  <c r="B108" i="1"/>
  <c r="M107" i="1"/>
  <c r="N107" i="1" s="1"/>
  <c r="C107" i="1"/>
  <c r="B107" i="1"/>
  <c r="M106" i="1"/>
  <c r="N106" i="1" s="1"/>
  <c r="C106" i="1"/>
  <c r="B106" i="1"/>
  <c r="M105" i="1"/>
  <c r="N105" i="1" s="1"/>
  <c r="C105" i="1"/>
  <c r="B105" i="1"/>
  <c r="M104" i="1"/>
  <c r="N104" i="1" s="1"/>
  <c r="C104" i="1"/>
  <c r="B104" i="1"/>
  <c r="M103" i="1"/>
  <c r="N103" i="1" s="1"/>
  <c r="C103" i="1"/>
  <c r="B103" i="1"/>
  <c r="M101" i="1"/>
  <c r="N101" i="1" s="1"/>
  <c r="C101" i="1"/>
  <c r="B101" i="1"/>
  <c r="M102" i="1"/>
  <c r="N102" i="1" s="1"/>
  <c r="C102" i="1"/>
  <c r="B102" i="1"/>
  <c r="M100" i="1"/>
  <c r="N100" i="1" s="1"/>
  <c r="C100" i="1"/>
  <c r="B100" i="1"/>
  <c r="M99" i="1"/>
  <c r="N99" i="1" s="1"/>
  <c r="C99" i="1"/>
  <c r="B99" i="1"/>
  <c r="M98" i="1"/>
  <c r="N98" i="1" s="1"/>
  <c r="C98" i="1"/>
  <c r="B98" i="1"/>
  <c r="M97" i="1"/>
  <c r="N97" i="1" s="1"/>
  <c r="C97" i="1"/>
  <c r="B97" i="1"/>
  <c r="M96" i="1"/>
  <c r="N96" i="1" s="1"/>
  <c r="C96" i="1"/>
  <c r="B96" i="1"/>
  <c r="M95" i="1"/>
  <c r="N95" i="1" s="1"/>
  <c r="C95" i="1"/>
  <c r="B95" i="1"/>
  <c r="M94" i="1"/>
  <c r="N94" i="1" s="1"/>
  <c r="C94" i="1"/>
  <c r="B94" i="1"/>
  <c r="M92" i="1"/>
  <c r="N92" i="1" s="1"/>
  <c r="C92" i="1"/>
  <c r="B92" i="1"/>
  <c r="M93" i="1"/>
  <c r="N93" i="1" s="1"/>
  <c r="C93" i="1"/>
  <c r="B93" i="1"/>
  <c r="M91" i="1"/>
  <c r="N91" i="1" s="1"/>
  <c r="C91" i="1"/>
  <c r="B91" i="1"/>
  <c r="M90" i="1"/>
  <c r="N90" i="1" s="1"/>
  <c r="C90" i="1"/>
  <c r="B90" i="1"/>
  <c r="M89" i="1"/>
  <c r="N89" i="1" s="1"/>
  <c r="C89" i="1"/>
  <c r="B89" i="1"/>
  <c r="M88" i="1"/>
  <c r="N88" i="1" s="1"/>
  <c r="C88" i="1"/>
  <c r="B88" i="1"/>
  <c r="M87" i="1"/>
  <c r="N87" i="1" s="1"/>
  <c r="C87" i="1"/>
  <c r="B87" i="1"/>
  <c r="M86" i="1"/>
  <c r="N86" i="1" s="1"/>
  <c r="C86" i="1"/>
  <c r="B86" i="1"/>
  <c r="M85" i="1"/>
  <c r="N85" i="1" s="1"/>
  <c r="C85" i="1"/>
  <c r="B85" i="1"/>
  <c r="M84" i="1"/>
  <c r="N84" i="1" s="1"/>
  <c r="C84" i="1"/>
  <c r="B84" i="1"/>
  <c r="M83" i="1"/>
  <c r="N83" i="1" s="1"/>
  <c r="C83" i="1"/>
  <c r="B83" i="1"/>
  <c r="M82" i="1"/>
  <c r="N82" i="1" s="1"/>
  <c r="C82" i="1"/>
  <c r="B82" i="1"/>
  <c r="M81" i="1"/>
  <c r="N81" i="1" s="1"/>
  <c r="C81" i="1"/>
  <c r="B81" i="1"/>
  <c r="M80" i="1"/>
  <c r="N80" i="1" s="1"/>
  <c r="C80" i="1"/>
  <c r="B80" i="1"/>
  <c r="M79" i="1"/>
  <c r="N79" i="1" s="1"/>
  <c r="C79" i="1"/>
  <c r="B79" i="1"/>
  <c r="M78" i="1"/>
  <c r="N78" i="1" s="1"/>
  <c r="C78" i="1"/>
  <c r="B78" i="1"/>
  <c r="M77" i="1"/>
  <c r="N77" i="1" s="1"/>
  <c r="C77" i="1"/>
  <c r="B77" i="1"/>
  <c r="M76" i="1"/>
  <c r="N76" i="1" s="1"/>
  <c r="C76" i="1"/>
  <c r="B76" i="1"/>
  <c r="M75" i="1"/>
  <c r="N75" i="1" s="1"/>
  <c r="C75" i="1"/>
  <c r="B75" i="1"/>
  <c r="M74" i="1"/>
  <c r="N74" i="1" s="1"/>
  <c r="C74" i="1"/>
  <c r="B74" i="1"/>
  <c r="M73" i="1"/>
  <c r="N73" i="1" s="1"/>
  <c r="C73" i="1"/>
  <c r="B73" i="1"/>
  <c r="M72" i="1"/>
  <c r="N72" i="1" s="1"/>
  <c r="C72" i="1"/>
  <c r="B72" i="1"/>
  <c r="M71" i="1"/>
  <c r="N71" i="1" s="1"/>
  <c r="C71" i="1"/>
  <c r="B71" i="1"/>
  <c r="M70" i="1"/>
  <c r="N70" i="1" s="1"/>
  <c r="C70" i="1"/>
  <c r="B70" i="1"/>
  <c r="M69" i="1"/>
  <c r="N69" i="1" s="1"/>
  <c r="C69" i="1"/>
  <c r="B69" i="1"/>
  <c r="M68" i="1"/>
  <c r="N68" i="1" s="1"/>
  <c r="C68" i="1"/>
  <c r="B68" i="1"/>
  <c r="M67" i="1"/>
  <c r="N67" i="1" s="1"/>
  <c r="C67" i="1"/>
  <c r="B67" i="1"/>
  <c r="M66" i="1"/>
  <c r="N66" i="1" s="1"/>
  <c r="C66" i="1"/>
  <c r="B66" i="1"/>
  <c r="M65" i="1"/>
  <c r="N65" i="1" s="1"/>
  <c r="C65" i="1"/>
  <c r="B65" i="1"/>
  <c r="M64" i="1"/>
  <c r="N64" i="1" s="1"/>
  <c r="C64" i="1"/>
  <c r="B64" i="1"/>
  <c r="M63" i="1"/>
  <c r="N63" i="1" s="1"/>
  <c r="C63" i="1"/>
  <c r="B63" i="1"/>
  <c r="M62" i="1"/>
  <c r="N62" i="1" s="1"/>
  <c r="C62" i="1"/>
  <c r="B62" i="1"/>
  <c r="M61" i="1"/>
  <c r="N61" i="1" s="1"/>
  <c r="C61" i="1"/>
  <c r="B61" i="1"/>
  <c r="M60" i="1"/>
  <c r="N60" i="1" s="1"/>
  <c r="C60" i="1"/>
  <c r="B60" i="1"/>
  <c r="M59" i="1"/>
  <c r="N59" i="1" s="1"/>
  <c r="C59" i="1"/>
  <c r="B59" i="1"/>
  <c r="M58" i="1"/>
  <c r="N58" i="1" s="1"/>
  <c r="C58" i="1"/>
  <c r="B58" i="1"/>
  <c r="M57" i="1"/>
  <c r="N57" i="1" s="1"/>
  <c r="C57" i="1"/>
  <c r="B57" i="1"/>
  <c r="M56" i="1"/>
  <c r="N56" i="1" s="1"/>
  <c r="C56" i="1"/>
  <c r="B56" i="1"/>
  <c r="M55" i="1"/>
  <c r="N55" i="1" s="1"/>
  <c r="C55" i="1"/>
  <c r="B55" i="1"/>
  <c r="M52" i="1"/>
  <c r="N52" i="1" s="1"/>
  <c r="C52" i="1"/>
  <c r="B52" i="1"/>
  <c r="M54" i="1"/>
  <c r="N54" i="1" s="1"/>
  <c r="C54" i="1"/>
  <c r="B54" i="1"/>
  <c r="M53" i="1"/>
  <c r="N53" i="1" s="1"/>
  <c r="C53" i="1"/>
  <c r="B53" i="1"/>
  <c r="M51" i="1"/>
  <c r="N51" i="1" s="1"/>
  <c r="C51" i="1"/>
  <c r="B51" i="1"/>
  <c r="M50" i="1"/>
  <c r="N50" i="1" s="1"/>
  <c r="C50" i="1"/>
  <c r="B50" i="1"/>
  <c r="M49" i="1"/>
  <c r="N49" i="1" s="1"/>
  <c r="C49" i="1"/>
  <c r="B49" i="1"/>
  <c r="M47" i="1"/>
  <c r="N47" i="1" s="1"/>
  <c r="C47" i="1"/>
  <c r="B47" i="1"/>
  <c r="M48" i="1"/>
  <c r="N48" i="1" s="1"/>
  <c r="C48" i="1"/>
  <c r="B48" i="1"/>
  <c r="M46" i="1"/>
  <c r="N46" i="1" s="1"/>
  <c r="C46" i="1"/>
  <c r="B46" i="1"/>
  <c r="M45" i="1"/>
  <c r="N45" i="1" s="1"/>
  <c r="C45" i="1"/>
  <c r="B45" i="1"/>
  <c r="M44" i="1"/>
  <c r="N44" i="1" s="1"/>
  <c r="C44" i="1"/>
  <c r="B44" i="1"/>
  <c r="M43" i="1"/>
  <c r="N43" i="1" s="1"/>
  <c r="C43" i="1"/>
  <c r="B43" i="1"/>
  <c r="M42" i="1"/>
  <c r="N42" i="1" s="1"/>
  <c r="C42" i="1"/>
  <c r="B42" i="1"/>
  <c r="M41" i="1"/>
  <c r="N41" i="1" s="1"/>
  <c r="C41" i="1"/>
  <c r="B41" i="1"/>
  <c r="M40" i="1"/>
  <c r="N40" i="1" s="1"/>
  <c r="C40" i="1"/>
  <c r="B40" i="1"/>
  <c r="M39" i="1"/>
  <c r="N39" i="1" s="1"/>
  <c r="C39" i="1"/>
  <c r="B39" i="1"/>
  <c r="M38" i="1"/>
  <c r="N38" i="1" s="1"/>
  <c r="C38" i="1"/>
  <c r="B38" i="1"/>
  <c r="M37" i="1"/>
  <c r="N37" i="1" s="1"/>
  <c r="C37" i="1"/>
  <c r="B37" i="1"/>
  <c r="M36" i="1"/>
  <c r="N36" i="1" s="1"/>
  <c r="C36" i="1"/>
  <c r="B36" i="1"/>
  <c r="M35" i="1"/>
  <c r="N35" i="1" s="1"/>
  <c r="C35" i="1"/>
  <c r="B35" i="1"/>
  <c r="M34" i="1"/>
  <c r="N34" i="1" s="1"/>
  <c r="C34" i="1"/>
  <c r="B34" i="1"/>
  <c r="M33" i="1"/>
  <c r="N33" i="1" s="1"/>
  <c r="C33" i="1"/>
  <c r="B33" i="1"/>
  <c r="M32" i="1"/>
  <c r="N32" i="1" s="1"/>
  <c r="C32" i="1"/>
  <c r="B32" i="1"/>
  <c r="M31" i="1"/>
  <c r="N31" i="1" s="1"/>
  <c r="C31" i="1"/>
  <c r="B31" i="1"/>
  <c r="M30" i="1"/>
  <c r="N30" i="1" s="1"/>
  <c r="C30" i="1"/>
  <c r="B30" i="1"/>
  <c r="M29" i="1"/>
  <c r="N29" i="1" s="1"/>
  <c r="C29" i="1"/>
  <c r="B29" i="1"/>
  <c r="M28" i="1"/>
  <c r="N28" i="1" s="1"/>
  <c r="C28" i="1"/>
  <c r="B28" i="1"/>
  <c r="M27" i="1"/>
  <c r="N27" i="1" s="1"/>
  <c r="C27" i="1"/>
  <c r="B27" i="1"/>
  <c r="M26" i="1"/>
  <c r="N26" i="1" s="1"/>
  <c r="C26" i="1"/>
  <c r="B26" i="1"/>
  <c r="M25" i="1"/>
  <c r="N25" i="1" s="1"/>
  <c r="C25" i="1"/>
  <c r="B25" i="1"/>
  <c r="M24" i="1"/>
  <c r="N24" i="1" s="1"/>
  <c r="C24" i="1"/>
  <c r="B24" i="1"/>
  <c r="M23" i="1"/>
  <c r="N23" i="1" s="1"/>
  <c r="C23" i="1"/>
  <c r="B23" i="1"/>
  <c r="M22" i="1"/>
  <c r="N22" i="1" s="1"/>
  <c r="C22" i="1"/>
  <c r="B22" i="1"/>
  <c r="M21" i="1"/>
  <c r="N21" i="1" s="1"/>
  <c r="C21" i="1"/>
  <c r="B21" i="1"/>
  <c r="M20" i="1"/>
  <c r="N20" i="1" s="1"/>
  <c r="C20" i="1"/>
  <c r="B20" i="1"/>
  <c r="M19" i="1"/>
  <c r="N19" i="1" s="1"/>
  <c r="C19" i="1"/>
  <c r="B19" i="1"/>
  <c r="M18" i="1"/>
  <c r="N18" i="1" s="1"/>
  <c r="C18" i="1"/>
  <c r="B18" i="1"/>
  <c r="M17" i="1"/>
  <c r="N17" i="1" s="1"/>
  <c r="C17" i="1"/>
  <c r="B17" i="1"/>
  <c r="M16" i="1"/>
  <c r="N16" i="1" s="1"/>
  <c r="C16" i="1"/>
  <c r="B16" i="1"/>
  <c r="M15" i="1"/>
  <c r="N15" i="1" s="1"/>
  <c r="C15" i="1"/>
  <c r="B15" i="1"/>
  <c r="M14" i="1"/>
  <c r="N14" i="1" s="1"/>
  <c r="C14" i="1"/>
  <c r="B14" i="1"/>
  <c r="M13" i="1"/>
  <c r="N13" i="1" s="1"/>
  <c r="C13" i="1"/>
  <c r="B13" i="1"/>
  <c r="M11" i="1"/>
  <c r="N11" i="1" s="1"/>
  <c r="C11" i="1"/>
  <c r="B11" i="1"/>
  <c r="M12" i="1"/>
  <c r="N12" i="1" s="1"/>
  <c r="C12" i="1"/>
  <c r="B12" i="1"/>
  <c r="M10" i="1"/>
  <c r="N10" i="1" s="1"/>
  <c r="C10" i="1"/>
  <c r="B10" i="1"/>
  <c r="M8" i="1"/>
  <c r="N8" i="1" s="1"/>
  <c r="C8" i="1"/>
  <c r="B8" i="1"/>
  <c r="M7" i="1"/>
  <c r="N7" i="1" s="1"/>
  <c r="C7" i="1"/>
  <c r="B7" i="1"/>
  <c r="M9" i="1"/>
  <c r="N9" i="1" s="1"/>
  <c r="C9" i="1"/>
  <c r="B9" i="1"/>
  <c r="M6" i="1"/>
  <c r="N6" i="1" s="1"/>
  <c r="B6" i="1"/>
  <c r="M5" i="1"/>
  <c r="N5" i="1" s="1"/>
  <c r="C5" i="1"/>
  <c r="B5" i="1"/>
  <c r="M4" i="1"/>
  <c r="N4" i="1" s="1"/>
  <c r="C4" i="1"/>
  <c r="B4" i="1"/>
  <c r="M3" i="1"/>
  <c r="N3" i="1" s="1"/>
  <c r="C3" i="1"/>
  <c r="B3" i="1"/>
  <c r="M2" i="1"/>
  <c r="N2" i="1" s="1"/>
  <c r="C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tc={EEBDA697-065A-4621-806A-E3C86D994A0D}</author>
    <author>tc={1AD8FBD2-678E-49C1-B3EC-C916BA55DE43}</author>
    <author>tc={41688E5E-1D01-493A-A2AE-9A5DABF618EC}</author>
    <author>tc={E9D79FAE-2D85-4B72-8DD6-495A51285ED0}</author>
    <author>tc={C38ADD89-5D5B-4DD1-9467-31FA15741495}</author>
  </authors>
  <commentList>
    <comment ref="M5" authorId="0" shapeId="0" xr:uid="{EEBDA697-065A-4621-806A-E3C86D994A0D}">
      <text>
        <t>[Threaded comment]
Your version of Excel allows you to read this threaded comment; however, any edits to it will get removed if the file is opened in a newer version of Excel. Learn more: https://go.microsoft.com/fwlink/?linkid=870924
Comment:
    This shows the monthly sales % compared with last month</t>
      </text>
    </comment>
    <comment ref="A6" authorId="1" shapeId="0" xr:uid="{1AD8FBD2-678E-49C1-B3EC-C916BA55DE43}">
      <text>
        <t>[Threaded comment]
Your version of Excel allows you to read this threaded comment; however, any edits to it will get removed if the file is opened in a newer version of Excel. Learn more: https://go.microsoft.com/fwlink/?linkid=870924
Comment:
    It shows YOY sales%</t>
      </text>
    </comment>
    <comment ref="J6" authorId="2" shapeId="0" xr:uid="{41688E5E-1D01-493A-A2AE-9A5DABF618EC}">
      <text>
        <t xml:space="preserve">[Threaded comment]
Your version of Excel allows you to read this threaded comment; however, any edits to it will get removed if the file is opened in a newer version of Excel. Learn more: https://go.microsoft.com/fwlink/?linkid=870924
Comment:
    This value shows the contribution % of a region in total sales </t>
      </text>
    </comment>
    <comment ref="P6" authorId="3" shapeId="0" xr:uid="{E9D79FAE-2D85-4B72-8DD6-495A51285ED0}">
      <text>
        <t>[Threaded comment]
Your version of Excel allows you to read this threaded comment; however, any edits to it will get removed if the file is opened in a newer version of Excel. Learn more: https://go.microsoft.com/fwlink/?linkid=870924
Comment:
    It shows the YOY profit %</t>
      </text>
    </comment>
    <comment ref="V6" authorId="4" shapeId="0" xr:uid="{C38ADD89-5D5B-4DD1-9467-31FA15741495}">
      <text>
        <t>[Threaded comment]
Your version of Excel allows you to read this threaded comment; however, any edits to it will get removed if the file is opened in a newer version of Excel. Learn more: https://go.microsoft.com/fwlink/?linkid=870924
Comment:
    It shows the average order value)AOV)compared with last year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5912CF-68BD-4F9B-9E9C-E90ED029F253}" name="Connection" type="104" refreshedVersion="0" background="1">
    <extLst>
      <ext xmlns:x15="http://schemas.microsoft.com/office/spreadsheetml/2010/11/main" uri="{DE250136-89BD-433C-8126-D09CA5730AF9}">
        <x15:connection id="Calendar"/>
      </ext>
    </extLst>
  </connection>
  <connection id="2" xr16:uid="{C49BD774-4C73-4465-8968-D665CB7F2282}"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3" xr16:uid="{DD8143C6-6729-4C8F-B78F-1A4F970E74BB}" keepAlive="1" name="ThisWorkbookDataModel" description="Data Model" type="5" refreshedVersion="8" minRefreshableVersion="5" saveData="1">
    <dbPr connection="Data Model Connection" command="Model" commandType="1"/>
    <olapPr rowDrillCount="1000" serverFill="0" serverNumberFormat="0" serverFont="0" serverFontColor="0"/>
    <extLst>
      <ext xmlns:x15="http://schemas.microsoft.com/office/spreadsheetml/2010/11/main" uri="{DE250136-89BD-433C-8126-D09CA5730AF9}">
        <x15:connection id="" model="1"/>
      </ext>
    </extLst>
  </connection>
  <connection id="4" xr16:uid="{FA4E1D85-D115-46D3-9A3F-6C80EA3A91CD}" name="WorksheetConnection_project.xlsx" type="102" refreshedVersion="8" minRefreshableVersion="5" saveData="1">
    <extLst>
      <ext xmlns:x15="http://schemas.microsoft.com/office/spreadsheetml/2010/11/main" uri="{DE250136-89BD-433C-8126-D09CA5730AF9}">
        <x15:connection id="Table2" excludeFromRefreshAll="1">
          <x15:rangePr sourceName="_xlcn.WorksheetConnection_project.xlsx1"/>
        </x15:connection>
      </ext>
    </extLst>
  </connection>
</connections>
</file>

<file path=xl/sharedStrings.xml><?xml version="1.0" encoding="utf-8"?>
<sst xmlns="http://schemas.openxmlformats.org/spreadsheetml/2006/main" count="2181" uniqueCount="118">
  <si>
    <t>Date</t>
  </si>
  <si>
    <t>Year</t>
  </si>
  <si>
    <t>Month</t>
  </si>
  <si>
    <t>OrderID</t>
  </si>
  <si>
    <t>Customer</t>
  </si>
  <si>
    <t>Region</t>
  </si>
  <si>
    <t>Salesperson</t>
  </si>
  <si>
    <t>Product</t>
  </si>
  <si>
    <t>Quantity</t>
  </si>
  <si>
    <t>Unit Price</t>
  </si>
  <si>
    <t>Discount %</t>
  </si>
  <si>
    <t>Unit Cost</t>
  </si>
  <si>
    <t>Sales</t>
  </si>
  <si>
    <t>Profit</t>
  </si>
  <si>
    <t>frequent vs once</t>
  </si>
  <si>
    <t>Bob Lee</t>
  </si>
  <si>
    <t>South</t>
  </si>
  <si>
    <t>Alice</t>
  </si>
  <si>
    <t>Monitor</t>
  </si>
  <si>
    <t>Tom Brown</t>
  </si>
  <si>
    <t>East</t>
  </si>
  <si>
    <t>Diana</t>
  </si>
  <si>
    <t>Keyboard</t>
  </si>
  <si>
    <t>Carlos Diaz</t>
  </si>
  <si>
    <t>North</t>
  </si>
  <si>
    <t>Ethan</t>
  </si>
  <si>
    <t>Headphones</t>
  </si>
  <si>
    <t>Sara Khan</t>
  </si>
  <si>
    <t>Fiona</t>
  </si>
  <si>
    <t>Laptop</t>
  </si>
  <si>
    <t>Priya Patel</t>
  </si>
  <si>
    <t>Printer</t>
  </si>
  <si>
    <t>John Doe</t>
  </si>
  <si>
    <t>Bob</t>
  </si>
  <si>
    <t>Charlie</t>
  </si>
  <si>
    <t>Alice Smith</t>
  </si>
  <si>
    <t>Mouse</t>
  </si>
  <si>
    <t>Jane Roe</t>
  </si>
  <si>
    <t>West</t>
  </si>
  <si>
    <t>Fatima Noor</t>
  </si>
  <si>
    <t>Tablet</t>
  </si>
  <si>
    <t>Smartphone</t>
  </si>
  <si>
    <t>Wei Zhang</t>
  </si>
  <si>
    <t>Row Labels</t>
  </si>
  <si>
    <t>Grand Total</t>
  </si>
  <si>
    <t>Sum of Sales</t>
  </si>
  <si>
    <t>Jan</t>
  </si>
  <si>
    <t>Feb</t>
  </si>
  <si>
    <t>Mar</t>
  </si>
  <si>
    <t>Apr</t>
  </si>
  <si>
    <t>May</t>
  </si>
  <si>
    <t>Jun</t>
  </si>
  <si>
    <t>Jul</t>
  </si>
  <si>
    <t>Aug</t>
  </si>
  <si>
    <t>Sep</t>
  </si>
  <si>
    <t>Oct</t>
  </si>
  <si>
    <t>Nov</t>
  </si>
  <si>
    <t>Dec</t>
  </si>
  <si>
    <t>Sum of Profit</t>
  </si>
  <si>
    <t>mom%</t>
  </si>
  <si>
    <t>Count of Customer</t>
  </si>
  <si>
    <t>F</t>
  </si>
  <si>
    <t>O</t>
  </si>
  <si>
    <t>Average of Discount %</t>
  </si>
  <si>
    <t>Average of Sales</t>
  </si>
  <si>
    <t>TOTAL VALUE</t>
  </si>
  <si>
    <t>TOTAL ORDERS</t>
  </si>
  <si>
    <t>AVERAGE VALUE</t>
  </si>
  <si>
    <t>YOY%</t>
  </si>
  <si>
    <t>DISCOUNT %</t>
  </si>
  <si>
    <t>January</t>
  </si>
  <si>
    <t>February</t>
  </si>
  <si>
    <t>March</t>
  </si>
  <si>
    <t>April</t>
  </si>
  <si>
    <t>June</t>
  </si>
  <si>
    <t>July</t>
  </si>
  <si>
    <t>August</t>
  </si>
  <si>
    <t>September</t>
  </si>
  <si>
    <t>October</t>
  </si>
  <si>
    <t>November</t>
  </si>
  <si>
    <t>December</t>
  </si>
  <si>
    <t>profit%</t>
  </si>
  <si>
    <t>count%</t>
  </si>
  <si>
    <t>2024</t>
  </si>
  <si>
    <t>2025</t>
  </si>
  <si>
    <t>Total Sales</t>
  </si>
  <si>
    <t>Total Profit</t>
  </si>
  <si>
    <t>Products</t>
  </si>
  <si>
    <t>Customers</t>
  </si>
  <si>
    <t>Months</t>
  </si>
  <si>
    <t>Total profit</t>
  </si>
  <si>
    <t>MOM Change%</t>
  </si>
  <si>
    <t>Average Discount %</t>
  </si>
  <si>
    <t>F&amp;O buyers</t>
  </si>
  <si>
    <t>Total sales</t>
  </si>
  <si>
    <t>SALES PERFORMANCE DASHBOARD 2024-25</t>
  </si>
  <si>
    <t>Product sales</t>
  </si>
  <si>
    <t>Region wise sale</t>
  </si>
  <si>
    <t>Top 5 customers</t>
  </si>
  <si>
    <t>Salesperson performance</t>
  </si>
  <si>
    <t>Monthly sales trends</t>
  </si>
  <si>
    <t>Product performance</t>
  </si>
  <si>
    <t>Regionwise customer count</t>
  </si>
  <si>
    <t>MOM growth%</t>
  </si>
  <si>
    <t>Average discout on products</t>
  </si>
  <si>
    <t>Sales and profit from F &amp; O</t>
  </si>
  <si>
    <t>avg %</t>
  </si>
  <si>
    <t>Count of Order</t>
  </si>
  <si>
    <t>EAST</t>
  </si>
  <si>
    <t>PROFIT(month-wise)</t>
  </si>
  <si>
    <t>TOTAL PROFIT</t>
  </si>
  <si>
    <t>sum of sales</t>
  </si>
  <si>
    <t>Region wise%</t>
  </si>
  <si>
    <t>%</t>
  </si>
  <si>
    <t>sum of profit</t>
  </si>
  <si>
    <t>mom profit%</t>
  </si>
  <si>
    <t>profit%year</t>
  </si>
  <si>
    <t>MOM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</si>
</sst>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4" x14ac:knownFonts="1">
    <font>
      <sz val="11"/>
      <color theme="1"/>
      <name val="Tw Cen MT"/>
      <family val="2"/>
      <scheme val="minor"/>
    </font>
    <font>
      <sz val="11"/>
      <color theme="1"/>
      <name val="Tw Cen MT"/>
      <family val="2"/>
      <scheme val="minor"/>
    </font>
    <font>
      <b/>
      <sz val="11"/>
      <color theme="1"/>
      <name val="Tw Cen MT"/>
      <family val="2"/>
      <scheme val="minor"/>
    </font>
    <font>
      <sz val="16"/>
      <color theme="1"/>
      <name val="Tw Cen MT"/>
      <family val="2"/>
      <scheme val="minor"/>
    </font>
    <font>
      <sz val="18"/>
      <color theme="1"/>
      <name val="Tw Cen MT"/>
      <family val="2"/>
      <scheme val="minor"/>
    </font>
    <font>
      <sz val="20"/>
      <color theme="1"/>
      <name val="Tw Cen MT"/>
      <family val="2"/>
      <scheme val="minor"/>
    </font>
    <font>
      <sz val="28"/>
      <color theme="1"/>
      <name val="Tw Cen MT"/>
      <family val="2"/>
      <scheme val="minor"/>
    </font>
    <font>
      <sz val="14"/>
      <color theme="1"/>
      <name val="Tw Cen MT"/>
      <family val="2"/>
      <scheme val="minor"/>
    </font>
    <font>
      <sz val="11"/>
      <color theme="1"/>
      <name val="Calibri"/>
      <family val="2"/>
    </font>
    <font>
      <sz val="12"/>
      <color theme="1"/>
      <name val="Calibri"/>
      <family val="2"/>
    </font>
    <font>
      <sz val="28"/>
      <color theme="1"/>
      <name val="Berlin Sans FB"/>
      <family val="2"/>
    </font>
    <font>
      <sz val="11"/>
      <color theme="1"/>
      <name val="Berlin Sans FB"/>
      <family val="2"/>
    </font>
    <font>
      <sz val="12"/>
      <color theme="1"/>
      <name val="Calibri"/>
    </font>
    <font>
      <sz val="9"/>
      <color indexed="81"/>
      <name val="Tahoma"/>
      <charset val="1"/>
    </font>
  </fonts>
  <fills count="6">
    <fill>
      <patternFill patternType="none"/>
    </fill>
    <fill>
      <patternFill patternType="gray125"/>
    </fill>
    <fill>
      <patternFill patternType="solid">
        <fgColor rgb="FFFFFF00"/>
        <bgColor indexed="64"/>
      </patternFill>
    </fill>
    <fill>
      <patternFill patternType="solid">
        <fgColor rgb="FFF3A5ED"/>
        <bgColor indexed="64"/>
      </patternFill>
    </fill>
    <fill>
      <patternFill patternType="solid">
        <fgColor theme="4" tint="0.39997558519241921"/>
        <bgColor indexed="64"/>
      </patternFill>
    </fill>
    <fill>
      <patternFill patternType="solid">
        <fgColor theme="6" tint="0.59999389629810485"/>
        <bgColor indexed="64"/>
      </patternFill>
    </fill>
  </fills>
  <borders count="18">
    <border>
      <left/>
      <right/>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0" fontId="2" fillId="0" borderId="5" xfId="0" applyFont="1" applyBorder="1" applyAlignment="1">
      <alignment horizontal="center" vertical="top"/>
    </xf>
    <xf numFmtId="0" fontId="2" fillId="0" borderId="6" xfId="0" applyFont="1" applyBorder="1" applyAlignment="1">
      <alignment horizontal="center" vertical="top"/>
    </xf>
    <xf numFmtId="9" fontId="2" fillId="0" borderId="6" xfId="1" applyFont="1" applyFill="1" applyBorder="1" applyAlignment="1">
      <alignment horizontal="center" vertical="top"/>
    </xf>
    <xf numFmtId="0" fontId="2" fillId="0" borderId="7" xfId="0" applyFont="1" applyBorder="1" applyAlignment="1">
      <alignment horizontal="center" vertical="top"/>
    </xf>
    <xf numFmtId="0" fontId="0" fillId="4" borderId="0" xfId="0" applyFill="1" applyAlignment="1">
      <alignment horizontal="center"/>
    </xf>
    <xf numFmtId="0" fontId="0" fillId="4" borderId="0" xfId="0" applyFill="1"/>
    <xf numFmtId="0" fontId="6" fillId="4" borderId="15" xfId="0" applyFont="1" applyFill="1" applyBorder="1" applyAlignment="1">
      <alignment vertical="center"/>
    </xf>
    <xf numFmtId="0" fontId="0" fillId="4" borderId="0" xfId="0" applyFill="1" applyAlignment="1">
      <alignment vertical="center"/>
    </xf>
    <xf numFmtId="0" fontId="0" fillId="4" borderId="15" xfId="0" applyFill="1" applyBorder="1" applyAlignment="1">
      <alignment vertical="center"/>
    </xf>
    <xf numFmtId="14" fontId="8" fillId="0" borderId="4" xfId="0" applyNumberFormat="1" applyFont="1" applyBorder="1"/>
    <xf numFmtId="14" fontId="8" fillId="0" borderId="3" xfId="0" applyNumberFormat="1" applyFont="1" applyBorder="1"/>
    <xf numFmtId="0" fontId="8" fillId="0" borderId="3" xfId="0" applyFont="1" applyBorder="1"/>
    <xf numFmtId="9" fontId="8" fillId="0" borderId="3" xfId="1" applyFont="1" applyFill="1" applyBorder="1"/>
    <xf numFmtId="0" fontId="8" fillId="0" borderId="2" xfId="0" applyFont="1" applyBorder="1"/>
    <xf numFmtId="14" fontId="8" fillId="0" borderId="8" xfId="0" applyNumberFormat="1" applyFont="1" applyBorder="1"/>
    <xf numFmtId="14" fontId="8" fillId="0" borderId="9" xfId="0" applyNumberFormat="1" applyFont="1" applyBorder="1"/>
    <xf numFmtId="0" fontId="8" fillId="0" borderId="9" xfId="0" applyFont="1" applyBorder="1"/>
    <xf numFmtId="9" fontId="8" fillId="0" borderId="9" xfId="1" applyFont="1" applyFill="1" applyBorder="1"/>
    <xf numFmtId="0" fontId="8" fillId="0" borderId="1" xfId="0" applyFont="1" applyBorder="1"/>
    <xf numFmtId="0" fontId="9" fillId="0" borderId="0" xfId="0" applyFont="1"/>
    <xf numFmtId="0" fontId="9" fillId="0" borderId="0" xfId="0" applyFont="1" applyAlignment="1">
      <alignment horizontal="center"/>
    </xf>
    <xf numFmtId="9" fontId="9" fillId="0" borderId="0" xfId="1" applyFont="1"/>
    <xf numFmtId="0" fontId="9" fillId="0" borderId="0" xfId="0" applyFont="1" applyAlignment="1">
      <alignment horizontal="right"/>
    </xf>
    <xf numFmtId="9" fontId="0" fillId="4" borderId="0" xfId="1" applyFont="1" applyFill="1" applyAlignment="1"/>
    <xf numFmtId="0" fontId="0" fillId="4" borderId="15" xfId="0" applyFill="1" applyBorder="1"/>
    <xf numFmtId="2" fontId="9" fillId="0" borderId="0" xfId="1" applyNumberFormat="1" applyFont="1"/>
    <xf numFmtId="0" fontId="4" fillId="5" borderId="10" xfId="0" applyFont="1" applyFill="1" applyBorder="1" applyAlignment="1">
      <alignment horizontal="center"/>
    </xf>
    <xf numFmtId="0" fontId="4" fillId="5" borderId="11" xfId="0" applyFont="1" applyFill="1" applyBorder="1" applyAlignment="1">
      <alignment horizontal="center"/>
    </xf>
    <xf numFmtId="9" fontId="3" fillId="5" borderId="12" xfId="1" applyFont="1" applyFill="1" applyBorder="1" applyAlignment="1">
      <alignment horizontal="center"/>
    </xf>
    <xf numFmtId="9" fontId="3" fillId="5" borderId="13" xfId="1" applyFont="1" applyFill="1" applyBorder="1" applyAlignment="1">
      <alignment horizontal="center"/>
    </xf>
    <xf numFmtId="9" fontId="3" fillId="5" borderId="12" xfId="1" applyFont="1" applyFill="1" applyBorder="1" applyAlignment="1">
      <alignment horizontal="center" vertical="center"/>
    </xf>
    <xf numFmtId="9" fontId="3" fillId="5" borderId="13" xfId="1" applyFont="1" applyFill="1" applyBorder="1" applyAlignment="1">
      <alignment horizontal="center" vertical="center"/>
    </xf>
    <xf numFmtId="164" fontId="5" fillId="5" borderId="15" xfId="0" applyNumberFormat="1" applyFont="1" applyFill="1" applyBorder="1" applyAlignment="1">
      <alignment horizontal="center" vertical="center"/>
    </xf>
    <xf numFmtId="164" fontId="5" fillId="5" borderId="16" xfId="0" applyNumberFormat="1" applyFont="1" applyFill="1" applyBorder="1" applyAlignment="1">
      <alignment horizontal="center" vertical="center"/>
    </xf>
    <xf numFmtId="9" fontId="4" fillId="5" borderId="12" xfId="1" applyFont="1" applyFill="1" applyBorder="1" applyAlignment="1">
      <alignment horizontal="center" vertical="center"/>
    </xf>
    <xf numFmtId="9" fontId="4" fillId="5" borderId="13" xfId="1" applyFont="1" applyFill="1" applyBorder="1" applyAlignment="1">
      <alignment horizontal="center" vertical="center"/>
    </xf>
    <xf numFmtId="9" fontId="5" fillId="5" borderId="15" xfId="1" applyFont="1" applyFill="1" applyBorder="1" applyAlignment="1">
      <alignment horizontal="center" vertical="center"/>
    </xf>
    <xf numFmtId="9" fontId="5" fillId="5" borderId="16" xfId="1" applyFont="1" applyFill="1" applyBorder="1" applyAlignment="1">
      <alignment horizontal="center" vertical="center"/>
    </xf>
    <xf numFmtId="9" fontId="5" fillId="5" borderId="12" xfId="1" applyFont="1" applyFill="1" applyBorder="1" applyAlignment="1">
      <alignment horizontal="center" vertical="center"/>
    </xf>
    <xf numFmtId="9" fontId="5" fillId="5" borderId="13" xfId="1" applyFont="1" applyFill="1" applyBorder="1" applyAlignment="1">
      <alignment horizontal="center" vertical="center"/>
    </xf>
    <xf numFmtId="0" fontId="10" fillId="3" borderId="10"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13" xfId="0" applyFont="1" applyFill="1" applyBorder="1" applyAlignment="1">
      <alignment horizontal="center" vertical="center"/>
    </xf>
    <xf numFmtId="9" fontId="3" fillId="5" borderId="12" xfId="0" applyNumberFormat="1" applyFont="1" applyFill="1" applyBorder="1" applyAlignment="1">
      <alignment horizontal="center"/>
    </xf>
    <xf numFmtId="0" fontId="3" fillId="5" borderId="13" xfId="0" applyFont="1" applyFill="1" applyBorder="1" applyAlignment="1">
      <alignment horizontal="center"/>
    </xf>
    <xf numFmtId="9" fontId="7" fillId="5" borderId="12" xfId="1" applyFont="1" applyFill="1" applyBorder="1" applyAlignment="1">
      <alignment horizontal="center"/>
    </xf>
    <xf numFmtId="9" fontId="7" fillId="5" borderId="13" xfId="1" applyFont="1" applyFill="1" applyBorder="1" applyAlignment="1">
      <alignment horizontal="center"/>
    </xf>
    <xf numFmtId="164" fontId="3" fillId="5" borderId="15" xfId="0" applyNumberFormat="1" applyFont="1" applyFill="1" applyBorder="1" applyAlignment="1">
      <alignment horizontal="center"/>
    </xf>
    <xf numFmtId="164" fontId="3" fillId="5" borderId="16" xfId="0" applyNumberFormat="1" applyFont="1" applyFill="1" applyBorder="1" applyAlignment="1">
      <alignment horizontal="center"/>
    </xf>
    <xf numFmtId="0" fontId="3" fillId="5" borderId="15" xfId="0" applyFont="1" applyFill="1" applyBorder="1" applyAlignment="1">
      <alignment horizontal="center"/>
    </xf>
    <xf numFmtId="0" fontId="3" fillId="5" borderId="16" xfId="0" applyFont="1" applyFill="1" applyBorder="1" applyAlignment="1">
      <alignment horizontal="center"/>
    </xf>
    <xf numFmtId="164" fontId="3" fillId="5" borderId="15" xfId="0" applyNumberFormat="1" applyFont="1" applyFill="1" applyBorder="1" applyAlignment="1">
      <alignment horizontal="center" vertical="center"/>
    </xf>
    <xf numFmtId="164" fontId="3" fillId="5" borderId="16" xfId="0" applyNumberFormat="1" applyFont="1" applyFill="1" applyBorder="1" applyAlignment="1">
      <alignment horizontal="center" vertical="center"/>
    </xf>
    <xf numFmtId="0" fontId="0" fillId="5" borderId="11" xfId="0" applyFill="1" applyBorder="1" applyAlignment="1">
      <alignment horizontal="center"/>
    </xf>
    <xf numFmtId="0" fontId="9" fillId="2" borderId="0" xfId="0" applyFont="1" applyFill="1" applyAlignment="1">
      <alignment horizontal="center"/>
    </xf>
    <xf numFmtId="0" fontId="0" fillId="0" borderId="0" xfId="0"/>
    <xf numFmtId="0" fontId="0" fillId="0" borderId="0" xfId="0" applyBorder="1"/>
    <xf numFmtId="0" fontId="12" fillId="0" borderId="0" xfId="0" pivotButton="1" applyFont="1"/>
    <xf numFmtId="0" fontId="12" fillId="0" borderId="0" xfId="0" applyFont="1"/>
    <xf numFmtId="0" fontId="12" fillId="0" borderId="0" xfId="0" applyFont="1" applyAlignment="1">
      <alignment horizontal="left"/>
    </xf>
    <xf numFmtId="0" fontId="12" fillId="0" borderId="0" xfId="0" applyNumberFormat="1" applyFont="1"/>
    <xf numFmtId="9" fontId="12" fillId="0" borderId="0" xfId="0" applyNumberFormat="1" applyFont="1"/>
    <xf numFmtId="2" fontId="12" fillId="0" borderId="0" xfId="0" applyNumberFormat="1" applyFont="1"/>
    <xf numFmtId="0" fontId="12" fillId="0" borderId="0" xfId="0" applyFont="1" applyAlignment="1">
      <alignment horizontal="left" indent="1"/>
    </xf>
  </cellXfs>
  <cellStyles count="2">
    <cellStyle name="Normal" xfId="0" builtinId="0"/>
    <cellStyle name="Percent" xfId="1" builtinId="5"/>
  </cellStyles>
  <dxfs count="10832">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numFmt numFmtId="13" formatCode="0%"/>
    </dxf>
    <dxf>
      <numFmt numFmtId="13" formatCode="0%"/>
    </dxf>
    <dxf>
      <numFmt numFmtId="13" formatCode="0%"/>
    </dxf>
    <dxf>
      <numFmt numFmtId="2" formatCode="0.00"/>
    </dxf>
    <dxf>
      <numFmt numFmtId="2" formatCode="0.00"/>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2" formatCode="0.00"/>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numFmt numFmtId="13" formatCode="0%"/>
    </dxf>
    <dxf>
      <numFmt numFmtId="13" formatCode="0%"/>
    </dxf>
    <dxf>
      <numFmt numFmtId="13" formatCode="0%"/>
    </dxf>
    <dxf>
      <font>
        <u/>
      </font>
    </dxf>
    <dxf>
      <numFmt numFmtId="13" formatCode="0%"/>
    </dxf>
    <dxf>
      <numFmt numFmtId="13" formatCode="0%"/>
    </dxf>
    <dxf>
      <font>
        <u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ill>
        <patternFill>
          <bgColor theme="9" tint="0.39994506668294322"/>
        </patternFill>
      </fill>
    </dxf>
    <dxf>
      <font>
        <strike val="0"/>
        <outline val="0"/>
        <shadow val="0"/>
        <u val="none"/>
        <vertAlign val="baseline"/>
        <sz val="11"/>
        <color theme="1"/>
        <name val="Calibri"/>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auto="1"/>
        </top>
      </border>
    </dxf>
    <dxf>
      <border outline="0">
        <left style="thin">
          <color indexed="64"/>
        </left>
        <right style="thin">
          <color indexed="64"/>
        </right>
        <top style="thin">
          <color auto="1"/>
        </top>
        <bottom style="thin">
          <color auto="1"/>
        </bottom>
      </border>
    </dxf>
    <dxf>
      <font>
        <strike val="0"/>
        <outline val="0"/>
        <shadow val="0"/>
        <u val="none"/>
        <vertAlign val="baseline"/>
        <sz val="11"/>
        <color theme="1"/>
        <name val="Calibri"/>
        <family val="2"/>
        <scheme val="none"/>
      </font>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top" textRotation="0" wrapText="0" indent="0" justifyLastLine="0" shrinkToFit="0" readingOrder="0"/>
    </dxf>
  </dxfs>
  <tableStyles count="0" defaultTableStyle="TableStyleMedium2" defaultPivotStyle="PivotStyleLight16"/>
  <colors>
    <mruColors>
      <color rgb="FFF3A5ED"/>
      <color rgb="FF9953CD"/>
      <color rgb="FF8C3EC6"/>
      <color rgb="FF7A34AE"/>
      <color rgb="FFE884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6.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pivotCacheDefinition" Target="pivotCache/pivotCacheDefinition3.xml"/><Relationship Id="rId51" Type="http://schemas.openxmlformats.org/officeDocument/2006/relationships/customXml" Target="../customXml/item20.xml"/><Relationship Id="rId72"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5.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73"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2.xml"/><Relationship Id="rId71"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79974651457542E-2"/>
          <c:y val="0.19308565531475749"/>
          <c:w val="0.96197718631178708"/>
          <c:h val="0.54799939868197589"/>
        </c:manualLayout>
      </c:layout>
      <c:barChart>
        <c:barDir val="col"/>
        <c:grouping val="clustered"/>
        <c:varyColors val="0"/>
        <c:ser>
          <c:idx val="0"/>
          <c:order val="0"/>
          <c:tx>
            <c:strRef>
              <c:f>Pivot_tables!$B$3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Pivot_tables!$A$4:$A$12</c:f>
              <c:strCache>
                <c:ptCount val="8"/>
                <c:pt idx="0">
                  <c:v>Printer</c:v>
                </c:pt>
                <c:pt idx="1">
                  <c:v>Headphones</c:v>
                </c:pt>
                <c:pt idx="2">
                  <c:v>Monitor</c:v>
                </c:pt>
                <c:pt idx="3">
                  <c:v>Mouse</c:v>
                </c:pt>
                <c:pt idx="4">
                  <c:v>Laptop</c:v>
                </c:pt>
                <c:pt idx="5">
                  <c:v>Keyboard</c:v>
                </c:pt>
                <c:pt idx="6">
                  <c:v>Tablet</c:v>
                </c:pt>
                <c:pt idx="7">
                  <c:v>Smartphone</c:v>
                </c:pt>
              </c:strCache>
            </c:strRef>
          </c:cat>
          <c:val>
            <c:numRef>
              <c:f>Pivot_tables!$B$4:$B$12</c:f>
              <c:numCache>
                <c:formatCode>General</c:formatCode>
                <c:ptCount val="8"/>
                <c:pt idx="0">
                  <c:v>107372.7</c:v>
                </c:pt>
                <c:pt idx="1">
                  <c:v>86111.899999999951</c:v>
                </c:pt>
                <c:pt idx="2">
                  <c:v>85368.799999999988</c:v>
                </c:pt>
                <c:pt idx="3">
                  <c:v>84432.400000000009</c:v>
                </c:pt>
                <c:pt idx="4">
                  <c:v>81897.750000000015</c:v>
                </c:pt>
                <c:pt idx="5">
                  <c:v>72523.7</c:v>
                </c:pt>
                <c:pt idx="6">
                  <c:v>72132.699999999983</c:v>
                </c:pt>
                <c:pt idx="7">
                  <c:v>69768.45</c:v>
                </c:pt>
              </c:numCache>
            </c:numRef>
          </c:val>
          <c:extLst>
            <c:ext xmlns:c16="http://schemas.microsoft.com/office/drawing/2014/chart" uri="{C3380CC4-5D6E-409C-BE32-E72D297353CC}">
              <c16:uniqueId val="{00000000-8D5E-4C87-926A-4271478F78E6}"/>
            </c:ext>
          </c:extLst>
        </c:ser>
        <c:dLbls>
          <c:dLblPos val="outEnd"/>
          <c:showLegendKey val="0"/>
          <c:showVal val="1"/>
          <c:showCatName val="0"/>
          <c:showSerName val="0"/>
          <c:showPercent val="0"/>
          <c:showBubbleSize val="0"/>
        </c:dLbls>
        <c:gapWidth val="100"/>
        <c:overlap val="-24"/>
        <c:axId val="160707232"/>
        <c:axId val="160709632"/>
      </c:barChart>
      <c:catAx>
        <c:axId val="160707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09632"/>
        <c:crosses val="autoZero"/>
        <c:auto val="1"/>
        <c:lblAlgn val="ctr"/>
        <c:lblOffset val="100"/>
        <c:noMultiLvlLbl val="0"/>
      </c:catAx>
      <c:valAx>
        <c:axId val="160709632"/>
        <c:scaling>
          <c:orientation val="minMax"/>
        </c:scaling>
        <c:delete val="1"/>
        <c:axPos val="l"/>
        <c:numFmt formatCode="General" sourceLinked="1"/>
        <c:majorTickMark val="none"/>
        <c:minorTickMark val="none"/>
        <c:tickLblPos val="nextTo"/>
        <c:crossAx val="1607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5.4759634786242621E-2"/>
              <c:y val="-6.046457743830153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2878882563922017E-2"/>
              <c:y val="4.491017964071865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4.3411240261635722E-3"/>
              <c:y val="4.990019960079831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5283884968924344E-2"/>
              <c:y val="-5.9880239520958174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0473880158919531E-2"/>
              <c:y val="-3.992015968063881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2878882563921934E-2"/>
              <c:y val="6.4870259481037917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3.1613851298890758E-2"/>
              <c:y val="-1.9960079840319361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2878882563921934E-2"/>
              <c:y val="2.994011976047904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5.5663875348914718E-2"/>
              <c:y val="-4.491017964071861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0473880158919573E-2"/>
              <c:y val="-2.994011976047904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5.5663875348914718E-2"/>
              <c:y val="3.493013972055888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layout>
            <c:manualLayout>
              <c:x val="-6.0473880158919531E-2"/>
              <c:y val="-4.990019960079840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00096200096206E-3"/>
          <c:y val="0.18131257170697973"/>
          <c:w val="0.97835497835497831"/>
          <c:h val="0.71171790277712288"/>
        </c:manualLayout>
      </c:layout>
      <c:lineChart>
        <c:grouping val="standard"/>
        <c:varyColors val="0"/>
        <c:ser>
          <c:idx val="0"/>
          <c:order val="0"/>
          <c:tx>
            <c:strRef>
              <c:f>Pivot_tables!$B$43</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Pt>
            <c:idx val="0"/>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1"/>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2"/>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3"/>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4"/>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5"/>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6"/>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7"/>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8"/>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9"/>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10"/>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Pt>
            <c:idx val="11"/>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bubble3D val="0"/>
          </c:dPt>
          <c:dLbls>
            <c:dLbl>
              <c:idx val="0"/>
              <c:layout>
                <c:manualLayout>
                  <c:x val="-6.0473880158919531E-2"/>
                  <c:y val="-4.990019960079840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6.2878882563921934E-2"/>
                  <c:y val="6.487025948103791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5.4759634786242621E-2"/>
                  <c:y val="-6.046457743830153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5.5663875348914718E-2"/>
                  <c:y val="3.493013972055888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6.0473880158919573E-2"/>
                  <c:y val="-2.994011976047904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5"/>
              <c:layout>
                <c:manualLayout>
                  <c:x val="-6.2878882563921934E-2"/>
                  <c:y val="2.994011976047904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5.5663875348914718E-2"/>
                  <c:y val="-4.491017964071861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3.1613851298890758E-2"/>
                  <c:y val="-1.99600798403193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8"/>
              <c:layout>
                <c:manualLayout>
                  <c:x val="-6.0473880158919531E-2"/>
                  <c:y val="-3.992015968063881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6.2878882563922017E-2"/>
                  <c:y val="4.491017964071865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0"/>
              <c:layout>
                <c:manualLayout>
                  <c:x val="-6.5283884968924344E-2"/>
                  <c:y val="-5.988023952095817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1"/>
              <c:layout>
                <c:manualLayout>
                  <c:x val="-4.3411240261635722E-3"/>
                  <c:y val="4.9900199600798313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Pivot_tables!$B$44:$B$56</c:f>
              <c:numCache>
                <c:formatCode>General</c:formatCode>
                <c:ptCount val="12"/>
                <c:pt idx="0">
                  <c:v>63807.450000000012</c:v>
                </c:pt>
                <c:pt idx="1">
                  <c:v>57472.100000000006</c:v>
                </c:pt>
                <c:pt idx="2">
                  <c:v>60267.950000000019</c:v>
                </c:pt>
                <c:pt idx="3">
                  <c:v>80103.800000000017</c:v>
                </c:pt>
                <c:pt idx="4">
                  <c:v>88874.3</c:v>
                </c:pt>
                <c:pt idx="5">
                  <c:v>44636.700000000004</c:v>
                </c:pt>
                <c:pt idx="6">
                  <c:v>73604.549999999974</c:v>
                </c:pt>
                <c:pt idx="7">
                  <c:v>52723.150000000009</c:v>
                </c:pt>
                <c:pt idx="8">
                  <c:v>38742.85</c:v>
                </c:pt>
                <c:pt idx="9">
                  <c:v>36175.250000000007</c:v>
                </c:pt>
                <c:pt idx="10">
                  <c:v>32130</c:v>
                </c:pt>
                <c:pt idx="11">
                  <c:v>31070.3</c:v>
                </c:pt>
              </c:numCache>
            </c:numRef>
          </c:val>
          <c:smooth val="0"/>
          <c:extLst>
            <c:ext xmlns:c16="http://schemas.microsoft.com/office/drawing/2014/chart" uri="{C3380CC4-5D6E-409C-BE32-E72D297353CC}">
              <c16:uniqueId val="{0000000C-ACAF-42FA-9184-14B58C779C3E}"/>
            </c:ext>
          </c:extLst>
        </c:ser>
        <c:dLbls>
          <c:dLblPos val="ctr"/>
          <c:showLegendKey val="0"/>
          <c:showVal val="1"/>
          <c:showCatName val="0"/>
          <c:showSerName val="0"/>
          <c:showPercent val="0"/>
          <c:showBubbleSize val="0"/>
        </c:dLbls>
        <c:marker val="1"/>
        <c:smooth val="0"/>
        <c:axId val="126062112"/>
        <c:axId val="126054912"/>
      </c:lineChart>
      <c:catAx>
        <c:axId val="1260621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54912"/>
        <c:crosses val="autoZero"/>
        <c:auto val="1"/>
        <c:lblAlgn val="ctr"/>
        <c:lblOffset val="100"/>
        <c:noMultiLvlLbl val="0"/>
      </c:catAx>
      <c:valAx>
        <c:axId val="126054912"/>
        <c:scaling>
          <c:orientation val="minMax"/>
        </c:scaling>
        <c:delete val="1"/>
        <c:axPos val="l"/>
        <c:numFmt formatCode="General" sourceLinked="1"/>
        <c:majorTickMark val="none"/>
        <c:minorTickMark val="none"/>
        <c:tickLblPos val="nextTo"/>
        <c:crossAx val="12606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2.1505376344086023E-2"/>
              <c:y val="-4.7892720306513406E-3"/>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2.1505376344086023E-2"/>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7921146953404885E-2"/>
              <c:y val="-8.7802306262206842E-17"/>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83633362124898E-2"/>
          <c:y val="0.18944373222098912"/>
          <c:w val="0.94111747884939689"/>
          <c:h val="0.70202975712117155"/>
        </c:manualLayout>
      </c:layout>
      <c:barChart>
        <c:barDir val="col"/>
        <c:grouping val="clustered"/>
        <c:varyColors val="0"/>
        <c:ser>
          <c:idx val="0"/>
          <c:order val="0"/>
          <c:tx>
            <c:strRef>
              <c:f>Pivot_tables!$B$15</c:f>
              <c:strCache>
                <c:ptCount val="1"/>
                <c:pt idx="0">
                  <c:v>Total Sales</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Pivot_tables!$A$16:$A$20</c:f>
              <c:strCache>
                <c:ptCount val="4"/>
                <c:pt idx="0">
                  <c:v>East</c:v>
                </c:pt>
                <c:pt idx="1">
                  <c:v>West</c:v>
                </c:pt>
                <c:pt idx="2">
                  <c:v>South</c:v>
                </c:pt>
                <c:pt idx="3">
                  <c:v>North</c:v>
                </c:pt>
              </c:strCache>
            </c:strRef>
          </c:cat>
          <c:val>
            <c:numRef>
              <c:f>Pivot_tables!$B$16:$B$20</c:f>
              <c:numCache>
                <c:formatCode>General</c:formatCode>
                <c:ptCount val="4"/>
                <c:pt idx="0">
                  <c:v>174466.34999999998</c:v>
                </c:pt>
                <c:pt idx="1">
                  <c:v>169896.40000000002</c:v>
                </c:pt>
                <c:pt idx="2">
                  <c:v>150629.84999999998</c:v>
                </c:pt>
                <c:pt idx="3">
                  <c:v>88921.799999999988</c:v>
                </c:pt>
              </c:numCache>
            </c:numRef>
          </c:val>
          <c:extLst>
            <c:ext xmlns:c16="http://schemas.microsoft.com/office/drawing/2014/chart" uri="{C3380CC4-5D6E-409C-BE32-E72D297353CC}">
              <c16:uniqueId val="{00000004-852F-43E3-9EBA-DA55D7BCAA7B}"/>
            </c:ext>
          </c:extLst>
        </c:ser>
        <c:ser>
          <c:idx val="1"/>
          <c:order val="1"/>
          <c:tx>
            <c:strRef>
              <c:f>Pivot_tables!$C$15</c:f>
              <c:strCache>
                <c:ptCount val="1"/>
                <c:pt idx="0">
                  <c:v>Total Profit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Pt>
            <c:idx val="0"/>
            <c:invertIfNegative val="0"/>
            <c:bubble3D val="0"/>
          </c:dPt>
          <c:dPt>
            <c:idx val="1"/>
            <c:invertIfNegative val="0"/>
            <c:bubble3D val="0"/>
          </c:dPt>
          <c:dPt>
            <c:idx val="2"/>
            <c:invertIfNegative val="0"/>
            <c:bubble3D val="0"/>
          </c:dPt>
          <c:dLbls>
            <c:dLbl>
              <c:idx val="0"/>
              <c:layout>
                <c:manualLayout>
                  <c:x val="2.1505376344086023E-2"/>
                  <c:y val="-4.7892720306513406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1.7921146953404885E-2"/>
                  <c:y val="-8.7802306262206842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1505376344086023E-2"/>
                  <c:y val="0"/>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Pivot_tables!$A$16:$A$20</c:f>
              <c:strCache>
                <c:ptCount val="4"/>
                <c:pt idx="0">
                  <c:v>East</c:v>
                </c:pt>
                <c:pt idx="1">
                  <c:v>West</c:v>
                </c:pt>
                <c:pt idx="2">
                  <c:v>South</c:v>
                </c:pt>
                <c:pt idx="3">
                  <c:v>North</c:v>
                </c:pt>
              </c:strCache>
            </c:strRef>
          </c:cat>
          <c:val>
            <c:numRef>
              <c:f>Pivot_tables!$C$16:$C$20</c:f>
              <c:numCache>
                <c:formatCode>General</c:formatCode>
                <c:ptCount val="4"/>
                <c:pt idx="0">
                  <c:v>32360.05000000001</c:v>
                </c:pt>
                <c:pt idx="1">
                  <c:v>29349.700000000008</c:v>
                </c:pt>
                <c:pt idx="2">
                  <c:v>29353.45</c:v>
                </c:pt>
                <c:pt idx="3">
                  <c:v>30588.2</c:v>
                </c:pt>
              </c:numCache>
            </c:numRef>
          </c:val>
          <c:extLst>
            <c:ext xmlns:c16="http://schemas.microsoft.com/office/drawing/2014/chart" uri="{C3380CC4-5D6E-409C-BE32-E72D297353CC}">
              <c16:uniqueId val="{00000005-852F-43E3-9EBA-DA55D7BCAA7B}"/>
            </c:ext>
          </c:extLst>
        </c:ser>
        <c:dLbls>
          <c:dLblPos val="outEnd"/>
          <c:showLegendKey val="0"/>
          <c:showVal val="1"/>
          <c:showCatName val="0"/>
          <c:showSerName val="0"/>
          <c:showPercent val="0"/>
          <c:showBubbleSize val="0"/>
        </c:dLbls>
        <c:gapWidth val="100"/>
        <c:overlap val="-24"/>
        <c:axId val="124194864"/>
        <c:axId val="124190064"/>
      </c:barChart>
      <c:catAx>
        <c:axId val="124194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90064"/>
        <c:crosses val="autoZero"/>
        <c:auto val="1"/>
        <c:lblAlgn val="ctr"/>
        <c:lblOffset val="100"/>
        <c:noMultiLvlLbl val="0"/>
      </c:catAx>
      <c:valAx>
        <c:axId val="124190064"/>
        <c:scaling>
          <c:orientation val="minMax"/>
        </c:scaling>
        <c:delete val="1"/>
        <c:axPos val="l"/>
        <c:numFmt formatCode="General" sourceLinked="1"/>
        <c:majorTickMark val="none"/>
        <c:minorTickMark val="none"/>
        <c:tickLblPos val="nextTo"/>
        <c:crossAx val="124194864"/>
        <c:crosses val="autoZero"/>
        <c:crossBetween val="between"/>
      </c:valAx>
      <c:spPr>
        <a:noFill/>
        <a:ln>
          <a:noFill/>
        </a:ln>
        <a:effectLst/>
      </c:spPr>
    </c:plotArea>
    <c:legend>
      <c:legendPos val="r"/>
      <c:layout>
        <c:manualLayout>
          <c:xMode val="edge"/>
          <c:yMode val="edge"/>
          <c:x val="0.82898757268147671"/>
          <c:y val="5.7060260482441033E-2"/>
          <c:w val="0.14972762800705339"/>
          <c:h val="0.1559351987066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customers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1EB8DD8-DBB2-4765-A7C7-3DFB78E8FC98}" type="CATEGORYNAME">
                  <a:rPr lang="en-US"/>
                  <a:pPr>
                    <a:defRPr/>
                  </a:pPr>
                  <a:t>[CATEGORY NAME]</a:t>
                </a:fld>
                <a:r>
                  <a:rPr lang="en-US" baseline="0"/>
                  <a:t>, </a:t>
                </a:r>
              </a:p>
              <a:p>
                <a:pPr>
                  <a:defRPr/>
                </a:pPr>
                <a:fld id="{CF514E4E-7545-4AA8-ABD5-A092888B8510}" type="VALUE">
                  <a:rPr lang="en-US" baseline="0"/>
                  <a:pPr>
                    <a:defRPr/>
                  </a:pPr>
                  <a:t>[VALUE]</a:t>
                </a:fld>
                <a:endParaRPr lang="en-IN"/>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6502521-A338-4681-838D-4F9DEBCDC91A}" type="CATEGORYNAME">
                  <a:rPr lang="en-US"/>
                  <a:pPr>
                    <a:defRPr/>
                  </a:pPr>
                  <a:t>[CATEGORY NAME]</a:t>
                </a:fld>
                <a:r>
                  <a:rPr lang="en-US" baseline="0"/>
                  <a:t>,</a:t>
                </a:r>
              </a:p>
              <a:p>
                <a:pPr>
                  <a:defRPr/>
                </a:pPr>
                <a:r>
                  <a:rPr lang="en-US" baseline="0"/>
                  <a:t> </a:t>
                </a:r>
                <a:fld id="{DA918142-9528-43D8-B291-120FFFDF2E7F}" type="VALUE">
                  <a:rPr lang="en-US" baseline="0"/>
                  <a:pPr>
                    <a:defRPr/>
                  </a:pPr>
                  <a:t>[VALUE]</a:t>
                </a:fld>
                <a:endParaRPr lang="en-US" baseline="0"/>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8.5149187945434718E-2"/>
              <c:y val="-2.3964864768037636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9742847-782B-4B25-895F-A9023B140AC3}" type="CATEGORYNAME">
                  <a:rPr lang="en-US"/>
                  <a:pPr>
                    <a:defRPr/>
                  </a:pPr>
                  <a:t>[CATEGORY NAME]</a:t>
                </a:fld>
                <a:r>
                  <a:rPr lang="en-US" baseline="0"/>
                  <a:t>,</a:t>
                </a:r>
              </a:p>
              <a:p>
                <a:pPr>
                  <a:defRPr/>
                </a:pPr>
                <a:r>
                  <a:rPr lang="en-US" baseline="0"/>
                  <a:t> </a:t>
                </a:r>
                <a:fld id="{C6359A92-788B-420E-A4AE-BCC14CEA2A6D}" type="VALUE">
                  <a:rPr lang="en-US" baseline="0"/>
                  <a:pPr>
                    <a:defRPr/>
                  </a:pPr>
                  <a:t>[VALUE]</a:t>
                </a:fld>
                <a:endParaRPr lang="en-US" baseline="0"/>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587D2AB-1FA2-46F0-9FB7-122756F05D10}" type="CATEGORYNAME">
                  <a:rPr lang="en-US"/>
                  <a:pPr>
                    <a:defRPr/>
                  </a:pPr>
                  <a:t>[CATEGORY NAME]</a:t>
                </a:fld>
                <a:r>
                  <a:rPr lang="en-US" baseline="0"/>
                  <a:t>, </a:t>
                </a:r>
              </a:p>
              <a:p>
                <a:pPr>
                  <a:defRPr/>
                </a:pPr>
                <a:fld id="{E3B0E927-EBFC-4A32-9D21-2F3DA1F65ADA}" type="VALUE">
                  <a:rPr lang="en-US" baseline="0"/>
                  <a:pPr>
                    <a:defRPr/>
                  </a:pPr>
                  <a:t>[VALUE]</a:t>
                </a:fld>
                <a:endParaRPr lang="en-IN"/>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9EC05E0-5CE9-4D63-96CD-0B944863BBB5}" type="CATEGORYNAME">
                  <a:rPr lang="en-US"/>
                  <a:pPr>
                    <a:defRPr/>
                  </a:pPr>
                  <a:t>[CATEGORY NAME]</a:t>
                </a:fld>
                <a:r>
                  <a:rPr lang="en-US" baseline="0"/>
                  <a:t>,</a:t>
                </a:r>
              </a:p>
              <a:p>
                <a:pPr>
                  <a:defRPr/>
                </a:pPr>
                <a:r>
                  <a:rPr lang="en-US" baseline="0"/>
                  <a:t> </a:t>
                </a:r>
                <a:fld id="{3FD9811F-D484-4EC9-8DE9-4F832B6A3FE7}" type="VALUE">
                  <a:rPr lang="en-US" baseline="0"/>
                  <a:pPr>
                    <a:defRPr/>
                  </a:pPr>
                  <a:t>[VALUE]</a:t>
                </a:fld>
                <a:endParaRPr lang="en-US" baseline="0"/>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2B6F9DB-22AA-4C98-B257-3FAD8F0E1D97}" type="CATEGORYNAME">
                  <a:rPr lang="en-US"/>
                  <a:pPr>
                    <a:defRPr/>
                  </a:pPr>
                  <a:t>[CATEGORY NAME]</a:t>
                </a:fld>
                <a:r>
                  <a:rPr lang="en-US" baseline="0"/>
                  <a:t>, </a:t>
                </a:r>
              </a:p>
              <a:p>
                <a:pPr>
                  <a:defRPr/>
                </a:pPr>
                <a:fld id="{13E76DD0-20C3-478C-9AE5-500C7D5F1B9E}" type="VALUE">
                  <a:rPr lang="en-US" baseline="0"/>
                  <a:pPr>
                    <a:defRPr/>
                  </a:pPr>
                  <a:t>[VALUE]</a:t>
                </a:fld>
                <a:endParaRPr lang="en-IN"/>
              </a:p>
            </c:rich>
          </c:tx>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dLbl>
          <c:idx val="0"/>
          <c:layout>
            <c:manualLayout>
              <c:x val="1.5812776723592662E-2"/>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Pivot_tables!$B$24</c:f>
              <c:strCache>
                <c:ptCount val="1"/>
                <c:pt idx="0">
                  <c:v>Total</c:v>
                </c:pt>
              </c:strCache>
            </c:strRef>
          </c:tx>
          <c:dPt>
            <c:idx val="0"/>
            <c:bubble3D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Pt>
          <c:dPt>
            <c:idx val="1"/>
            <c:bubble3D val="0"/>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Pt>
          <c:dPt>
            <c:idx val="2"/>
            <c:bubble3D val="0"/>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Pt>
          <c:dPt>
            <c:idx val="3"/>
            <c:bubble3D val="0"/>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Pt>
          <c:dPt>
            <c:idx val="4"/>
            <c:bubble3D val="0"/>
            <c:spPr>
              <a:gradFill rotWithShape="1">
                <a:gsLst>
                  <a:gs pos="0">
                    <a:schemeClr val="accent5">
                      <a:tint val="94000"/>
                      <a:satMod val="100000"/>
                      <a:lumMod val="108000"/>
                    </a:schemeClr>
                  </a:gs>
                  <a:gs pos="50000">
                    <a:schemeClr val="accent5">
                      <a:tint val="98000"/>
                      <a:shade val="100000"/>
                      <a:satMod val="100000"/>
                      <a:lumMod val="100000"/>
                    </a:schemeClr>
                  </a:gs>
                  <a:gs pos="100000">
                    <a:schemeClr val="accent5">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Pt>
          <c:dLbls>
            <c:dLbl>
              <c:idx val="0"/>
              <c:tx>
                <c:rich>
                  <a:bodyPr/>
                  <a:lstStyle/>
                  <a:p>
                    <a:fld id="{B9EC05E0-5CE9-4D63-96CD-0B944863BBB5}" type="CATEGORYNAME">
                      <a:rPr lang="en-US"/>
                      <a:pPr/>
                      <a:t>[CATEGORY NAME]</a:t>
                    </a:fld>
                    <a:r>
                      <a:rPr lang="en-US" baseline="0"/>
                      <a:t>,</a:t>
                    </a:r>
                  </a:p>
                  <a:p>
                    <a:r>
                      <a:rPr lang="en-US" baseline="0"/>
                      <a:t> </a:t>
                    </a:r>
                    <a:fld id="{3FD9811F-D484-4EC9-8DE9-4F832B6A3FE7}"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dLbl>
              <c:idx val="1"/>
              <c:tx>
                <c:rich>
                  <a:bodyPr/>
                  <a:lstStyle/>
                  <a:p>
                    <a:fld id="{96502521-A338-4681-838D-4F9DEBCDC91A}" type="CATEGORYNAME">
                      <a:rPr lang="en-US"/>
                      <a:pPr/>
                      <a:t>[CATEGORY NAME]</a:t>
                    </a:fld>
                    <a:r>
                      <a:rPr lang="en-US" baseline="0"/>
                      <a:t>,</a:t>
                    </a:r>
                  </a:p>
                  <a:p>
                    <a:r>
                      <a:rPr lang="en-US" baseline="0"/>
                      <a:t> </a:t>
                    </a:r>
                    <a:fld id="{DA918142-9528-43D8-B291-120FFFDF2E7F}"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dLbl>
              <c:idx val="2"/>
              <c:layout>
                <c:manualLayout>
                  <c:x val="-8.5149187945434718E-2"/>
                  <c:y val="-2.3964864768037636E-16"/>
                </c:manualLayout>
              </c:layout>
              <c:tx>
                <c:rich>
                  <a:bodyPr/>
                  <a:lstStyle/>
                  <a:p>
                    <a:fld id="{D9742847-782B-4B25-895F-A9023B140AC3}" type="CATEGORYNAME">
                      <a:rPr lang="en-US"/>
                      <a:pPr/>
                      <a:t>[CATEGORY NAME]</a:t>
                    </a:fld>
                    <a:r>
                      <a:rPr lang="en-US" baseline="0"/>
                      <a:t>,</a:t>
                    </a:r>
                  </a:p>
                  <a:p>
                    <a:r>
                      <a:rPr lang="en-US" baseline="0"/>
                      <a:t> </a:t>
                    </a:r>
                    <a:fld id="{C6359A92-788B-420E-A4AE-BCC14CEA2A6D}"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dLbl>
              <c:idx val="3"/>
              <c:tx>
                <c:rich>
                  <a:bodyPr/>
                  <a:lstStyle/>
                  <a:p>
                    <a:fld id="{3587D2AB-1FA2-46F0-9FB7-122756F05D10}" type="CATEGORYNAME">
                      <a:rPr lang="en-US"/>
                      <a:pPr/>
                      <a:t>[CATEGORY NAME]</a:t>
                    </a:fld>
                    <a:r>
                      <a:rPr lang="en-US" baseline="0"/>
                      <a:t>, </a:t>
                    </a:r>
                  </a:p>
                  <a:p>
                    <a:fld id="{E3B0E927-EBFC-4A32-9D21-2F3DA1F65ADA}" type="VALUE">
                      <a:rPr lang="en-US" baseline="0"/>
                      <a:pPr/>
                      <a:t>[VALUE]</a:t>
                    </a:fld>
                    <a:endParaRPr lang="en-IN"/>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dLbl>
              <c:idx val="4"/>
              <c:tx>
                <c:rich>
                  <a:bodyPr/>
                  <a:lstStyle/>
                  <a:p>
                    <a:fld id="{21EB8DD8-DBB2-4765-A7C7-3DFB78E8FC98}" type="CATEGORYNAME">
                      <a:rPr lang="en-US"/>
                      <a:pPr/>
                      <a:t>[CATEGORY NAME]</a:t>
                    </a:fld>
                    <a:r>
                      <a:rPr lang="en-US" baseline="0"/>
                      <a:t>, </a:t>
                    </a:r>
                  </a:p>
                  <a:p>
                    <a:fld id="{CF514E4E-7545-4AA8-ABD5-A092888B8510}" type="VALUE">
                      <a:rPr lang="en-US" baseline="0"/>
                      <a:pPr/>
                      <a:t>[VALUE]</a:t>
                    </a:fld>
                    <a:endParaRPr lang="en-IN"/>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Pivot_tables!$A$25:$A$30</c:f>
              <c:strCache>
                <c:ptCount val="5"/>
                <c:pt idx="0">
                  <c:v>Sara Khan</c:v>
                </c:pt>
                <c:pt idx="1">
                  <c:v>Carlos Diaz</c:v>
                </c:pt>
                <c:pt idx="2">
                  <c:v>Jane Roe</c:v>
                </c:pt>
                <c:pt idx="3">
                  <c:v>Priya Patel</c:v>
                </c:pt>
                <c:pt idx="4">
                  <c:v>Alice Smith</c:v>
                </c:pt>
              </c:strCache>
            </c:strRef>
          </c:cat>
          <c:val>
            <c:numRef>
              <c:f>Pivot_tables!$B$25:$B$30</c:f>
              <c:numCache>
                <c:formatCode>General</c:formatCode>
                <c:ptCount val="5"/>
                <c:pt idx="0">
                  <c:v>85114.3</c:v>
                </c:pt>
                <c:pt idx="1">
                  <c:v>82396.900000000009</c:v>
                </c:pt>
                <c:pt idx="2">
                  <c:v>82253.5</c:v>
                </c:pt>
                <c:pt idx="3">
                  <c:v>74383.5</c:v>
                </c:pt>
                <c:pt idx="4">
                  <c:v>70207.799999999988</c:v>
                </c:pt>
              </c:numCache>
            </c:numRef>
          </c:val>
          <c:extLst>
            <c:ext xmlns:c16="http://schemas.microsoft.com/office/drawing/2014/chart" uri="{C3380CC4-5D6E-409C-BE32-E72D297353CC}">
              <c16:uniqueId val="{0000000A-1428-4A40-8471-235588573996}"/>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Pivot_tables!$B$59</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Pivot_tables!$A$60:$A$68</c:f>
              <c:strCache>
                <c:ptCount val="8"/>
                <c:pt idx="0">
                  <c:v>Printer</c:v>
                </c:pt>
                <c:pt idx="1">
                  <c:v>Mouse</c:v>
                </c:pt>
                <c:pt idx="2">
                  <c:v>Headphones</c:v>
                </c:pt>
                <c:pt idx="3">
                  <c:v>Monitor</c:v>
                </c:pt>
                <c:pt idx="4">
                  <c:v>Tablet</c:v>
                </c:pt>
                <c:pt idx="5">
                  <c:v>Laptop</c:v>
                </c:pt>
                <c:pt idx="6">
                  <c:v>Keyboard</c:v>
                </c:pt>
                <c:pt idx="7">
                  <c:v>Smartphone</c:v>
                </c:pt>
              </c:strCache>
            </c:strRef>
          </c:cat>
          <c:val>
            <c:numRef>
              <c:f>Pivot_tables!$B$60:$B$68</c:f>
              <c:numCache>
                <c:formatCode>General</c:formatCode>
                <c:ptCount val="8"/>
                <c:pt idx="0">
                  <c:v>19813.900000000005</c:v>
                </c:pt>
                <c:pt idx="1">
                  <c:v>16972</c:v>
                </c:pt>
                <c:pt idx="2">
                  <c:v>16008.299999999997</c:v>
                </c:pt>
                <c:pt idx="3">
                  <c:v>15860.200000000003</c:v>
                </c:pt>
                <c:pt idx="4">
                  <c:v>15231.800000000001</c:v>
                </c:pt>
                <c:pt idx="5">
                  <c:v>14842.649999999996</c:v>
                </c:pt>
                <c:pt idx="6">
                  <c:v>13102.099999999999</c:v>
                </c:pt>
                <c:pt idx="7">
                  <c:v>9820.4500000000025</c:v>
                </c:pt>
              </c:numCache>
            </c:numRef>
          </c:val>
          <c:extLst>
            <c:ext xmlns:c16="http://schemas.microsoft.com/office/drawing/2014/chart" uri="{C3380CC4-5D6E-409C-BE32-E72D297353CC}">
              <c16:uniqueId val="{00000000-70BC-424F-9F52-E8B879F90101}"/>
            </c:ext>
          </c:extLst>
        </c:ser>
        <c:dLbls>
          <c:dLblPos val="outEnd"/>
          <c:showLegendKey val="0"/>
          <c:showVal val="1"/>
          <c:showCatName val="0"/>
          <c:showSerName val="0"/>
          <c:showPercent val="0"/>
          <c:showBubbleSize val="0"/>
        </c:dLbls>
        <c:gapWidth val="115"/>
        <c:overlap val="-20"/>
        <c:axId val="124182384"/>
        <c:axId val="124180464"/>
      </c:barChart>
      <c:catAx>
        <c:axId val="124182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80464"/>
        <c:crosses val="autoZero"/>
        <c:auto val="1"/>
        <c:lblAlgn val="ctr"/>
        <c:lblOffset val="100"/>
        <c:noMultiLvlLbl val="0"/>
      </c:catAx>
      <c:valAx>
        <c:axId val="124180464"/>
        <c:scaling>
          <c:orientation val="minMax"/>
        </c:scaling>
        <c:delete val="1"/>
        <c:axPos val="b"/>
        <c:numFmt formatCode="General" sourceLinked="1"/>
        <c:majorTickMark val="none"/>
        <c:minorTickMark val="none"/>
        <c:tickLblPos val="nextTo"/>
        <c:crossAx val="12418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dashboard.xlsx]Pivot_tables!PivotTable11</c:name>
    <c:fmtId val="3"/>
  </c:pivotSource>
  <c:chart>
    <c:title>
      <c:tx>
        <c:rich>
          <a:bodyPr rot="0" spcFirstLastPara="1" vertOverflow="ellipsis" vert="horz" wrap="square" anchor="ctr" anchorCtr="1"/>
          <a:lstStyle/>
          <a:p>
            <a:pPr>
              <a:defRPr sz="1200" b="0" i="0" u="none" strike="noStrike" kern="1200" cap="all" baseline="0">
                <a:solidFill>
                  <a:schemeClr val="lt1"/>
                </a:solidFill>
                <a:latin typeface="+mn-lt"/>
                <a:ea typeface="+mn-ea"/>
                <a:cs typeface="+mn-cs"/>
              </a:defRPr>
            </a:pPr>
            <a:r>
              <a:rPr lang="en-IN" sz="1200" b="0" i="0" u="none" strike="noStrike" cap="all" baseline="0">
                <a:effectLst/>
              </a:rPr>
              <a:t>salesperson performance </a:t>
            </a:r>
            <a:endParaRPr lang="en-IN" sz="1200"/>
          </a:p>
        </c:rich>
      </c:tx>
      <c:overlay val="0"/>
      <c:spPr>
        <a:noFill/>
        <a:ln>
          <a:noFill/>
        </a:ln>
        <a:effectLst/>
      </c:spPr>
      <c:txPr>
        <a:bodyPr rot="0" spcFirstLastPara="1" vertOverflow="ellipsis" vert="horz" wrap="square" anchor="ctr" anchorCtr="1"/>
        <a:lstStyle/>
        <a:p>
          <a:pPr>
            <a:defRPr sz="12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numFmt formatCode="&quot;₹&quot;\ #,##0" sourceLinked="0"/>
          <c:spPr>
            <a:solidFill>
              <a:srgbClr val="4BCAA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839365107166466E-2"/>
          <c:y val="0.22164572449226266"/>
          <c:w val="0.91554028581284519"/>
          <c:h val="0.63465661554897068"/>
        </c:manualLayout>
      </c:layout>
      <c:bar3DChart>
        <c:barDir val="col"/>
        <c:grouping val="clustered"/>
        <c:varyColors val="0"/>
        <c:ser>
          <c:idx val="0"/>
          <c:order val="0"/>
          <c:tx>
            <c:strRef>
              <c:f>Pivot_tables!$B$33</c:f>
              <c:strCache>
                <c:ptCount val="1"/>
                <c:pt idx="0">
                  <c:v>Total 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numFmt formatCode="&quot;₹&quot;\ #,##0" sourceLinked="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Pivot_tables!$A$34:$A$40</c:f>
              <c:strCache>
                <c:ptCount val="6"/>
                <c:pt idx="0">
                  <c:v>Bob</c:v>
                </c:pt>
                <c:pt idx="1">
                  <c:v>Diana</c:v>
                </c:pt>
                <c:pt idx="2">
                  <c:v>Ethan</c:v>
                </c:pt>
                <c:pt idx="3">
                  <c:v>Fiona</c:v>
                </c:pt>
                <c:pt idx="4">
                  <c:v>Charlie</c:v>
                </c:pt>
                <c:pt idx="5">
                  <c:v>Alice</c:v>
                </c:pt>
              </c:strCache>
            </c:strRef>
          </c:cat>
          <c:val>
            <c:numRef>
              <c:f>Pivot_tables!$B$34:$B$40</c:f>
              <c:numCache>
                <c:formatCode>General</c:formatCode>
                <c:ptCount val="6"/>
                <c:pt idx="0">
                  <c:v>129909.10000000002</c:v>
                </c:pt>
                <c:pt idx="1">
                  <c:v>118774.85000000002</c:v>
                </c:pt>
                <c:pt idx="2">
                  <c:v>114960.99999999999</c:v>
                </c:pt>
                <c:pt idx="3">
                  <c:v>107128.14999999998</c:v>
                </c:pt>
                <c:pt idx="4">
                  <c:v>95609.7</c:v>
                </c:pt>
                <c:pt idx="5">
                  <c:v>93225.600000000006</c:v>
                </c:pt>
              </c:numCache>
            </c:numRef>
          </c:val>
          <c:extLst>
            <c:ext xmlns:c16="http://schemas.microsoft.com/office/drawing/2014/chart" uri="{C3380CC4-5D6E-409C-BE32-E72D297353CC}">
              <c16:uniqueId val="{00000000-5A80-4CEA-A82C-904DA6C45B76}"/>
            </c:ext>
          </c:extLst>
        </c:ser>
        <c:ser>
          <c:idx val="1"/>
          <c:order val="1"/>
          <c:tx>
            <c:strRef>
              <c:f>Pivot_tables!$C$33</c:f>
              <c:strCache>
                <c:ptCount val="1"/>
                <c:pt idx="0">
                  <c:v>Sum of Profit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numFmt formatCode="&quot;₹&quot;\ #,##0" sourceLinked="0"/>
            <c:spPr>
              <a:solidFill>
                <a:srgbClr val="4BCAA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Pivot_tables!$A$34:$A$40</c:f>
              <c:strCache>
                <c:ptCount val="6"/>
                <c:pt idx="0">
                  <c:v>Bob</c:v>
                </c:pt>
                <c:pt idx="1">
                  <c:v>Diana</c:v>
                </c:pt>
                <c:pt idx="2">
                  <c:v>Ethan</c:v>
                </c:pt>
                <c:pt idx="3">
                  <c:v>Fiona</c:v>
                </c:pt>
                <c:pt idx="4">
                  <c:v>Charlie</c:v>
                </c:pt>
                <c:pt idx="5">
                  <c:v>Alice</c:v>
                </c:pt>
              </c:strCache>
            </c:strRef>
          </c:cat>
          <c:val>
            <c:numRef>
              <c:f>Pivot_tables!$C$34:$C$40</c:f>
              <c:numCache>
                <c:formatCode>General</c:formatCode>
                <c:ptCount val="6"/>
                <c:pt idx="0">
                  <c:v>23939.600000000006</c:v>
                </c:pt>
                <c:pt idx="1">
                  <c:v>20128.05</c:v>
                </c:pt>
                <c:pt idx="2">
                  <c:v>22545.600000000009</c:v>
                </c:pt>
                <c:pt idx="3">
                  <c:v>19989.350000000002</c:v>
                </c:pt>
                <c:pt idx="4">
                  <c:v>18939.400000000001</c:v>
                </c:pt>
                <c:pt idx="5">
                  <c:v>16109.400000000001</c:v>
                </c:pt>
              </c:numCache>
            </c:numRef>
          </c:val>
          <c:extLst>
            <c:ext xmlns:c16="http://schemas.microsoft.com/office/drawing/2014/chart" uri="{C3380CC4-5D6E-409C-BE32-E72D297353CC}">
              <c16:uniqueId val="{00000001-5A80-4CEA-A82C-904DA6C45B76}"/>
            </c:ext>
          </c:extLst>
        </c:ser>
        <c:dLbls>
          <c:showLegendKey val="0"/>
          <c:showVal val="1"/>
          <c:showCatName val="0"/>
          <c:showSerName val="0"/>
          <c:showPercent val="0"/>
          <c:showBubbleSize val="0"/>
        </c:dLbls>
        <c:gapWidth val="84"/>
        <c:gapDepth val="53"/>
        <c:shape val="box"/>
        <c:axId val="124204944"/>
        <c:axId val="124197744"/>
        <c:axId val="0"/>
      </c:bar3DChart>
      <c:catAx>
        <c:axId val="1242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97744"/>
        <c:crosses val="autoZero"/>
        <c:auto val="1"/>
        <c:lblAlgn val="ctr"/>
        <c:lblOffset val="100"/>
        <c:noMultiLvlLbl val="0"/>
      </c:catAx>
      <c:valAx>
        <c:axId val="124197744"/>
        <c:scaling>
          <c:orientation val="minMax"/>
        </c:scaling>
        <c:delete val="1"/>
        <c:axPos val="l"/>
        <c:numFmt formatCode="General" sourceLinked="1"/>
        <c:majorTickMark val="out"/>
        <c:minorTickMark val="none"/>
        <c:tickLblPos val="nextTo"/>
        <c:crossAx val="124204944"/>
        <c:crosses val="autoZero"/>
        <c:crossBetween val="between"/>
      </c:valAx>
      <c:spPr>
        <a:noFill/>
        <a:ln>
          <a:noFill/>
        </a:ln>
        <a:effectLst/>
      </c:spPr>
    </c:plotArea>
    <c:legend>
      <c:legendPos val="r"/>
      <c:layout>
        <c:manualLayout>
          <c:xMode val="edge"/>
          <c:yMode val="edge"/>
          <c:x val="0.80160816449457306"/>
          <c:y val="5.309297776501623E-2"/>
          <c:w val="0.16649518603325625"/>
          <c:h val="0.20658537166512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MOM Sales %</a:t>
            </a:r>
            <a:r>
              <a:rPr lang="en-IN" sz="1600" b="1"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multiLvlStrRef>
              <c:f>Pivot_tables!$A$83:$A$105</c:f>
              <c:multiLvlStrCache>
                <c:ptCount val="20"/>
                <c:lvl>
                  <c:pt idx="0">
                    <c:v>February</c:v>
                  </c:pt>
                  <c:pt idx="1">
                    <c:v>March</c:v>
                  </c:pt>
                  <c:pt idx="2">
                    <c:v>April</c:v>
                  </c:pt>
                  <c:pt idx="3">
                    <c:v>May</c:v>
                  </c:pt>
                  <c:pt idx="4">
                    <c:v>June</c:v>
                  </c:pt>
                  <c:pt idx="5">
                    <c:v>July</c:v>
                  </c:pt>
                  <c:pt idx="6">
                    <c:v>August</c:v>
                  </c:pt>
                  <c:pt idx="7">
                    <c:v>September</c:v>
                  </c:pt>
                  <c:pt idx="8">
                    <c:v>October</c:v>
                  </c:pt>
                  <c:pt idx="9">
                    <c:v>November</c:v>
                  </c:pt>
                  <c:pt idx="10">
                    <c:v>December</c:v>
                  </c:pt>
                  <c:pt idx="11">
                    <c:v>January</c:v>
                  </c:pt>
                  <c:pt idx="12">
                    <c:v>February</c:v>
                  </c:pt>
                  <c:pt idx="13">
                    <c:v>March</c:v>
                  </c:pt>
                  <c:pt idx="14">
                    <c:v>April</c:v>
                  </c:pt>
                  <c:pt idx="15">
                    <c:v>May</c:v>
                  </c:pt>
                  <c:pt idx="16">
                    <c:v>June</c:v>
                  </c:pt>
                  <c:pt idx="17">
                    <c:v>July</c:v>
                  </c:pt>
                  <c:pt idx="18">
                    <c:v>August</c:v>
                  </c:pt>
                  <c:pt idx="19">
                    <c:v>September</c:v>
                  </c:pt>
                </c:lvl>
                <c:lvl>
                  <c:pt idx="0">
                    <c:v>2024</c:v>
                  </c:pt>
                  <c:pt idx="11">
                    <c:v>2025</c:v>
                  </c:pt>
                </c:lvl>
              </c:multiLvlStrCache>
            </c:multiLvlStrRef>
          </c:cat>
          <c:val>
            <c:numRef>
              <c:f>Pivot_tables!$B$83:$B$105</c:f>
              <c:numCache>
                <c:formatCode>0%</c:formatCode>
                <c:ptCount val="20"/>
                <c:pt idx="0">
                  <c:v>-0.30413958477945346</c:v>
                </c:pt>
                <c:pt idx="1">
                  <c:v>-0.13466124980729638</c:v>
                </c:pt>
                <c:pt idx="2">
                  <c:v>0.68219568554915699</c:v>
                </c:pt>
                <c:pt idx="3">
                  <c:v>0.66219684651852417</c:v>
                </c:pt>
                <c:pt idx="4">
                  <c:v>-0.58374638095327336</c:v>
                </c:pt>
                <c:pt idx="5">
                  <c:v>0.45422561366782616</c:v>
                </c:pt>
                <c:pt idx="6">
                  <c:v>-0.14044334235744443</c:v>
                </c:pt>
                <c:pt idx="7">
                  <c:v>0.39534929787471568</c:v>
                </c:pt>
                <c:pt idx="8">
                  <c:v>-6.6272873575382071E-2</c:v>
                </c:pt>
                <c:pt idx="9">
                  <c:v>-0.11182369161235928</c:v>
                </c:pt>
                <c:pt idx="10">
                  <c:v>-3.2981637099284068E-2</c:v>
                </c:pt>
                <c:pt idx="11">
                  <c:v>3.3573863142615339E-2</c:v>
                </c:pt>
                <c:pt idx="12">
                  <c:v>0.10288679665373862</c:v>
                </c:pt>
                <c:pt idx="13">
                  <c:v>0.16279381661607983</c:v>
                </c:pt>
                <c:pt idx="14">
                  <c:v>0.16551267809121403</c:v>
                </c:pt>
                <c:pt idx="15">
                  <c:v>-0.26018550154584602</c:v>
                </c:pt>
                <c:pt idx="16">
                  <c:v>-0.36853154533268756</c:v>
                </c:pt>
                <c:pt idx="17">
                  <c:v>0.84187888396112143</c:v>
                </c:pt>
                <c:pt idx="18">
                  <c:v>-0.39573557825006905</c:v>
                </c:pt>
                <c:pt idx="19">
                  <c:v>-1</c:v>
                </c:pt>
              </c:numCache>
            </c:numRef>
          </c:val>
          <c:extLst>
            <c:ext xmlns:c16="http://schemas.microsoft.com/office/drawing/2014/chart" uri="{C3380CC4-5D6E-409C-BE32-E72D297353CC}">
              <c16:uniqueId val="{00000002-11E6-49B8-BDA5-95A1F53E892F}"/>
            </c:ext>
          </c:extLst>
        </c:ser>
        <c:dLbls>
          <c:showLegendKey val="0"/>
          <c:showVal val="0"/>
          <c:showCatName val="0"/>
          <c:showSerName val="0"/>
          <c:showPercent val="0"/>
          <c:showBubbleSize val="0"/>
        </c:dLbls>
        <c:gapWidth val="100"/>
        <c:overlap val="-24"/>
        <c:axId val="800049631"/>
        <c:axId val="800047231"/>
      </c:barChart>
      <c:catAx>
        <c:axId val="800049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0047231"/>
        <c:crosses val="autoZero"/>
        <c:auto val="1"/>
        <c:lblAlgn val="ctr"/>
        <c:lblOffset val="100"/>
        <c:noMultiLvlLbl val="0"/>
      </c:catAx>
      <c:valAx>
        <c:axId val="8000472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004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discount on products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pivotFmt>
    </c:pivotFmts>
    <c:plotArea>
      <c:layout/>
      <c:barChart>
        <c:barDir val="col"/>
        <c:grouping val="clustered"/>
        <c:varyColors val="0"/>
        <c:ser>
          <c:idx val="0"/>
          <c:order val="0"/>
          <c:tx>
            <c:strRef>
              <c:f>Pivot_tables!$B$111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Pivot_tables!$A$112:$A$120</c:f>
              <c:strCache>
                <c:ptCount val="8"/>
                <c:pt idx="0">
                  <c:v>Smartphone</c:v>
                </c:pt>
                <c:pt idx="1">
                  <c:v>Laptop</c:v>
                </c:pt>
                <c:pt idx="2">
                  <c:v>Monitor</c:v>
                </c:pt>
                <c:pt idx="3">
                  <c:v>Mouse</c:v>
                </c:pt>
                <c:pt idx="4">
                  <c:v>Printer</c:v>
                </c:pt>
                <c:pt idx="5">
                  <c:v>Headphones</c:v>
                </c:pt>
                <c:pt idx="6">
                  <c:v>Keyboard</c:v>
                </c:pt>
                <c:pt idx="7">
                  <c:v>Tablet</c:v>
                </c:pt>
              </c:strCache>
            </c:strRef>
          </c:cat>
          <c:val>
            <c:numRef>
              <c:f>Pivot_tables!$B$112:$B$120</c:f>
              <c:numCache>
                <c:formatCode>0%</c:formatCode>
                <c:ptCount val="8"/>
                <c:pt idx="0">
                  <c:v>0.1672727272727273</c:v>
                </c:pt>
                <c:pt idx="1">
                  <c:v>0.16509433962264147</c:v>
                </c:pt>
                <c:pt idx="2">
                  <c:v>0.1470588235294118</c:v>
                </c:pt>
                <c:pt idx="3">
                  <c:v>0.14677419354838708</c:v>
                </c:pt>
                <c:pt idx="4">
                  <c:v>0.14556962025316456</c:v>
                </c:pt>
                <c:pt idx="5">
                  <c:v>0.1445205479452055</c:v>
                </c:pt>
                <c:pt idx="6">
                  <c:v>0.14067796610169492</c:v>
                </c:pt>
                <c:pt idx="7">
                  <c:v>0.13039215686274508</c:v>
                </c:pt>
              </c:numCache>
            </c:numRef>
          </c:val>
          <c:extLst>
            <c:ext xmlns:c16="http://schemas.microsoft.com/office/drawing/2014/chart" uri="{C3380CC4-5D6E-409C-BE32-E72D297353CC}">
              <c16:uniqueId val="{00000000-6AF9-47E9-AB16-E3FB5440BD26}"/>
            </c:ext>
          </c:extLst>
        </c:ser>
        <c:dLbls>
          <c:dLblPos val="inEnd"/>
          <c:showLegendKey val="0"/>
          <c:showVal val="1"/>
          <c:showCatName val="0"/>
          <c:showSerName val="0"/>
          <c:showPercent val="0"/>
          <c:showBubbleSize val="0"/>
        </c:dLbls>
        <c:gapWidth val="100"/>
        <c:overlap val="-24"/>
        <c:axId val="256320208"/>
        <c:axId val="256321168"/>
      </c:barChart>
      <c:catAx>
        <c:axId val="25632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6321168"/>
        <c:crosses val="autoZero"/>
        <c:auto val="1"/>
        <c:lblAlgn val="ctr"/>
        <c:lblOffset val="100"/>
        <c:noMultiLvlLbl val="0"/>
      </c:catAx>
      <c:valAx>
        <c:axId val="256321168"/>
        <c:scaling>
          <c:orientation val="minMax"/>
        </c:scaling>
        <c:delete val="1"/>
        <c:axPos val="l"/>
        <c:numFmt formatCode="0%" sourceLinked="1"/>
        <c:majorTickMark val="none"/>
        <c:minorTickMark val="none"/>
        <c:tickLblPos val="nextTo"/>
        <c:crossAx val="2563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 customer count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Pivot_tables!$A$73:$A$77</c:f>
              <c:strCache>
                <c:ptCount val="4"/>
                <c:pt idx="0">
                  <c:v>West</c:v>
                </c:pt>
                <c:pt idx="1">
                  <c:v>East</c:v>
                </c:pt>
                <c:pt idx="2">
                  <c:v>North</c:v>
                </c:pt>
                <c:pt idx="3">
                  <c:v>South</c:v>
                </c:pt>
              </c:strCache>
            </c:strRef>
          </c:cat>
          <c:val>
            <c:numRef>
              <c:f>Pivot_tables!$B$73:$B$77</c:f>
              <c:numCache>
                <c:formatCode>General</c:formatCode>
                <c:ptCount val="4"/>
                <c:pt idx="0">
                  <c:v>130</c:v>
                </c:pt>
                <c:pt idx="1">
                  <c:v>126</c:v>
                </c:pt>
                <c:pt idx="2">
                  <c:v>124</c:v>
                </c:pt>
                <c:pt idx="3">
                  <c:v>120</c:v>
                </c:pt>
              </c:numCache>
            </c:numRef>
          </c:val>
          <c:extLst>
            <c:ext xmlns:c16="http://schemas.microsoft.com/office/drawing/2014/chart" uri="{C3380CC4-5D6E-409C-BE32-E72D297353CC}">
              <c16:uniqueId val="{00000000-13CB-4875-A5B7-9E0063B343F5}"/>
            </c:ext>
          </c:extLst>
        </c:ser>
        <c:dLbls>
          <c:dLblPos val="outEnd"/>
          <c:showLegendKey val="0"/>
          <c:showVal val="1"/>
          <c:showCatName val="0"/>
          <c:showSerName val="0"/>
          <c:showPercent val="0"/>
          <c:showBubbleSize val="0"/>
        </c:dLbls>
        <c:gapWidth val="100"/>
        <c:overlap val="-24"/>
        <c:axId val="837313711"/>
        <c:axId val="837316111"/>
      </c:barChart>
      <c:catAx>
        <c:axId val="837313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316111"/>
        <c:crosses val="autoZero"/>
        <c:auto val="1"/>
        <c:lblAlgn val="ctr"/>
        <c:lblOffset val="100"/>
        <c:noMultiLvlLbl val="0"/>
      </c:catAx>
      <c:valAx>
        <c:axId val="837316111"/>
        <c:scaling>
          <c:orientation val="minMax"/>
        </c:scaling>
        <c:delete val="1"/>
        <c:axPos val="l"/>
        <c:numFmt formatCode="General" sourceLinked="1"/>
        <c:majorTickMark val="none"/>
        <c:minorTickMark val="none"/>
        <c:tickLblPos val="nextTo"/>
        <c:crossAx val="83731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dashboard.xlsx]Pivot_tables!PivotTable17</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Sales and profit from F &amp; O </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dLbl>
          <c:idx val="0"/>
          <c:layout>
            <c:manualLayout>
              <c:x val="-1.3333333333333334E-2"/>
              <c:y val="-0.11019283746556474"/>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80390101477573E-2"/>
          <c:y val="0.160668590948326"/>
          <c:w val="0.71219678541960418"/>
          <c:h val="0.78588055781721566"/>
        </c:manualLayout>
      </c:layout>
      <c:barChart>
        <c:barDir val="bar"/>
        <c:grouping val="clustered"/>
        <c:varyColors val="0"/>
        <c:ser>
          <c:idx val="0"/>
          <c:order val="0"/>
          <c:tx>
            <c:strRef>
              <c:f>Pivot_tables!$B$124</c:f>
              <c:strCache>
                <c:ptCount val="1"/>
                <c:pt idx="0">
                  <c:v>Total sales</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Pt>
            <c:idx val="0"/>
            <c:invertIfNegative val="0"/>
            <c:bubble3D val="0"/>
          </c:dPt>
          <c:dLbls>
            <c:dLbl>
              <c:idx val="0"/>
              <c:layout>
                <c:manualLayout>
                  <c:x val="-1.3333333333333334E-2"/>
                  <c:y val="-0.11019283746556474"/>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Pivot_tables!$A$125:$A$127</c:f>
              <c:strCache>
                <c:ptCount val="2"/>
                <c:pt idx="0">
                  <c:v>F</c:v>
                </c:pt>
                <c:pt idx="1">
                  <c:v>O</c:v>
                </c:pt>
              </c:strCache>
            </c:strRef>
          </c:cat>
          <c:val>
            <c:numRef>
              <c:f>Pivot_tables!$B$125:$B$127</c:f>
              <c:numCache>
                <c:formatCode>General</c:formatCode>
                <c:ptCount val="2"/>
                <c:pt idx="0">
                  <c:v>641048.60000000021</c:v>
                </c:pt>
                <c:pt idx="1">
                  <c:v>18559.800000000003</c:v>
                </c:pt>
              </c:numCache>
            </c:numRef>
          </c:val>
          <c:extLst>
            <c:ext xmlns:c16="http://schemas.microsoft.com/office/drawing/2014/chart" uri="{C3380CC4-5D6E-409C-BE32-E72D297353CC}">
              <c16:uniqueId val="{00000001-7555-4BC4-B787-EC6CD975A55E}"/>
            </c:ext>
          </c:extLst>
        </c:ser>
        <c:ser>
          <c:idx val="1"/>
          <c:order val="1"/>
          <c:tx>
            <c:strRef>
              <c:f>Pivot_tables!$C$124</c:f>
              <c:strCache>
                <c:ptCount val="1"/>
                <c:pt idx="0">
                  <c:v>Total profit</c:v>
                </c:pt>
              </c:strCache>
            </c:strRef>
          </c:tx>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Pivot_tables!$A$125:$A$127</c:f>
              <c:strCache>
                <c:ptCount val="2"/>
                <c:pt idx="0">
                  <c:v>F</c:v>
                </c:pt>
                <c:pt idx="1">
                  <c:v>O</c:v>
                </c:pt>
              </c:strCache>
            </c:strRef>
          </c:cat>
          <c:val>
            <c:numRef>
              <c:f>Pivot_tables!$C$125:$C$127</c:f>
              <c:numCache>
                <c:formatCode>General</c:formatCode>
                <c:ptCount val="2"/>
                <c:pt idx="0">
                  <c:v>118255.69999999991</c:v>
                </c:pt>
                <c:pt idx="1">
                  <c:v>3395.7</c:v>
                </c:pt>
              </c:numCache>
            </c:numRef>
          </c:val>
          <c:extLst>
            <c:ext xmlns:c16="http://schemas.microsoft.com/office/drawing/2014/chart" uri="{C3380CC4-5D6E-409C-BE32-E72D297353CC}">
              <c16:uniqueId val="{00000002-7555-4BC4-B787-EC6CD975A55E}"/>
            </c:ext>
          </c:extLst>
        </c:ser>
        <c:dLbls>
          <c:dLblPos val="outEnd"/>
          <c:showLegendKey val="0"/>
          <c:showVal val="1"/>
          <c:showCatName val="0"/>
          <c:showSerName val="0"/>
          <c:showPercent val="0"/>
          <c:showBubbleSize val="0"/>
        </c:dLbls>
        <c:gapWidth val="115"/>
        <c:overlap val="-20"/>
        <c:axId val="957127135"/>
        <c:axId val="957131935"/>
      </c:barChart>
      <c:catAx>
        <c:axId val="9571271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7131935"/>
        <c:crosses val="autoZero"/>
        <c:auto val="1"/>
        <c:lblAlgn val="ctr"/>
        <c:lblOffset val="100"/>
        <c:noMultiLvlLbl val="0"/>
      </c:catAx>
      <c:valAx>
        <c:axId val="957131935"/>
        <c:scaling>
          <c:orientation val="minMax"/>
        </c:scaling>
        <c:delete val="1"/>
        <c:axPos val="b"/>
        <c:numFmt formatCode="General" sourceLinked="1"/>
        <c:majorTickMark val="none"/>
        <c:minorTickMark val="none"/>
        <c:tickLblPos val="nextTo"/>
        <c:crossAx val="957127135"/>
        <c:crosses val="autoZero"/>
        <c:crossBetween val="between"/>
      </c:valAx>
      <c:spPr>
        <a:noFill/>
        <a:ln>
          <a:noFill/>
        </a:ln>
        <a:effectLst/>
      </c:spPr>
    </c:plotArea>
    <c:legend>
      <c:legendPos val="r"/>
      <c:layout>
        <c:manualLayout>
          <c:xMode val="edge"/>
          <c:yMode val="edge"/>
          <c:x val="0.77987455080780532"/>
          <c:y val="0.12259107688352076"/>
          <c:w val="0.22012536147943285"/>
          <c:h val="0.1490221808884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502919</xdr:colOff>
      <xdr:row>6</xdr:row>
      <xdr:rowOff>137160</xdr:rowOff>
    </xdr:from>
    <xdr:to>
      <xdr:col>8</xdr:col>
      <xdr:colOff>310444</xdr:colOff>
      <xdr:row>20</xdr:row>
      <xdr:rowOff>144780</xdr:rowOff>
    </xdr:to>
    <xdr:graphicFrame macro="">
      <xdr:nvGraphicFramePr>
        <xdr:cNvPr id="13" name="Chart 12">
          <a:extLst>
            <a:ext uri="{FF2B5EF4-FFF2-40B4-BE49-F238E27FC236}">
              <a16:creationId xmlns:a16="http://schemas.microsoft.com/office/drawing/2014/main" id="{A70F93AD-2F1B-4DC5-9FDD-21F119C14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474869</xdr:colOff>
      <xdr:row>6</xdr:row>
      <xdr:rowOff>94826</xdr:rowOff>
    </xdr:from>
    <xdr:to>
      <xdr:col>16</xdr:col>
      <xdr:colOff>992293</xdr:colOff>
      <xdr:row>21</xdr:row>
      <xdr:rowOff>11006</xdr:rowOff>
    </xdr:to>
    <xdr:graphicFrame macro="">
      <xdr:nvGraphicFramePr>
        <xdr:cNvPr id="19" name="Chart 18">
          <a:extLst>
            <a:ext uri="{FF2B5EF4-FFF2-40B4-BE49-F238E27FC236}">
              <a16:creationId xmlns:a16="http://schemas.microsoft.com/office/drawing/2014/main" id="{A146756E-968D-4556-B892-86BF9BD41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1198147</xdr:colOff>
      <xdr:row>6</xdr:row>
      <xdr:rowOff>97478</xdr:rowOff>
    </xdr:from>
    <xdr:to>
      <xdr:col>23</xdr:col>
      <xdr:colOff>122046</xdr:colOff>
      <xdr:row>21</xdr:row>
      <xdr:rowOff>1750</xdr:rowOff>
    </xdr:to>
    <xdr:graphicFrame macro="">
      <xdr:nvGraphicFramePr>
        <xdr:cNvPr id="20" name="Chart 19">
          <a:extLst>
            <a:ext uri="{FF2B5EF4-FFF2-40B4-BE49-F238E27FC236}">
              <a16:creationId xmlns:a16="http://schemas.microsoft.com/office/drawing/2014/main" id="{66A44147-D3D5-4D02-8EAD-A709F159B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21</xdr:row>
      <xdr:rowOff>76200</xdr:rowOff>
    </xdr:from>
    <xdr:to>
      <xdr:col>8</xdr:col>
      <xdr:colOff>296334</xdr:colOff>
      <xdr:row>32</xdr:row>
      <xdr:rowOff>91440</xdr:rowOff>
    </xdr:to>
    <xdr:graphicFrame macro="">
      <xdr:nvGraphicFramePr>
        <xdr:cNvPr id="21" name="Chart 20">
          <a:extLst>
            <a:ext uri="{FF2B5EF4-FFF2-40B4-BE49-F238E27FC236}">
              <a16:creationId xmlns:a16="http://schemas.microsoft.com/office/drawing/2014/main" id="{F9233FA6-B9C1-40F9-B117-FBB96EE94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463826</xdr:colOff>
      <xdr:row>21</xdr:row>
      <xdr:rowOff>125024</xdr:rowOff>
    </xdr:from>
    <xdr:to>
      <xdr:col>16</xdr:col>
      <xdr:colOff>1004956</xdr:colOff>
      <xdr:row>32</xdr:row>
      <xdr:rowOff>117404</xdr:rowOff>
    </xdr:to>
    <xdr:graphicFrame macro="">
      <xdr:nvGraphicFramePr>
        <xdr:cNvPr id="22" name="Chart 21">
          <a:extLst>
            <a:ext uri="{FF2B5EF4-FFF2-40B4-BE49-F238E27FC236}">
              <a16:creationId xmlns:a16="http://schemas.microsoft.com/office/drawing/2014/main" id="{8A15ACD1-3E5B-4492-B019-F4CA9A0DA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1159565</xdr:colOff>
      <xdr:row>21</xdr:row>
      <xdr:rowOff>126154</xdr:rowOff>
    </xdr:from>
    <xdr:to>
      <xdr:col>23</xdr:col>
      <xdr:colOff>121478</xdr:colOff>
      <xdr:row>32</xdr:row>
      <xdr:rowOff>110914</xdr:rowOff>
    </xdr:to>
    <xdr:graphicFrame macro="">
      <xdr:nvGraphicFramePr>
        <xdr:cNvPr id="23" name="Chart 22">
          <a:extLst>
            <a:ext uri="{FF2B5EF4-FFF2-40B4-BE49-F238E27FC236}">
              <a16:creationId xmlns:a16="http://schemas.microsoft.com/office/drawing/2014/main" id="{0DA03E81-3418-431A-B70E-627DA17C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502919</xdr:colOff>
      <xdr:row>33</xdr:row>
      <xdr:rowOff>106398</xdr:rowOff>
    </xdr:from>
    <xdr:to>
      <xdr:col>8</xdr:col>
      <xdr:colOff>296332</xdr:colOff>
      <xdr:row>48</xdr:row>
      <xdr:rowOff>114018</xdr:rowOff>
    </xdr:to>
    <xdr:graphicFrame macro="">
      <xdr:nvGraphicFramePr>
        <xdr:cNvPr id="24" name="Chart 23">
          <a:extLst>
            <a:ext uri="{FF2B5EF4-FFF2-40B4-BE49-F238E27FC236}">
              <a16:creationId xmlns:a16="http://schemas.microsoft.com/office/drawing/2014/main" id="{E239551B-5485-4663-93D4-C8799A398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1170609</xdr:colOff>
      <xdr:row>33</xdr:row>
      <xdr:rowOff>116558</xdr:rowOff>
    </xdr:from>
    <xdr:to>
      <xdr:col>23</xdr:col>
      <xdr:colOff>115429</xdr:colOff>
      <xdr:row>48</xdr:row>
      <xdr:rowOff>148731</xdr:rowOff>
    </xdr:to>
    <xdr:graphicFrame macro="">
      <xdr:nvGraphicFramePr>
        <xdr:cNvPr id="25" name="Chart 24">
          <a:extLst>
            <a:ext uri="{FF2B5EF4-FFF2-40B4-BE49-F238E27FC236}">
              <a16:creationId xmlns:a16="http://schemas.microsoft.com/office/drawing/2014/main" id="{AF601B1A-66A8-4DC9-8F96-5759DE732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463826</xdr:colOff>
      <xdr:row>33</xdr:row>
      <xdr:rowOff>104705</xdr:rowOff>
    </xdr:from>
    <xdr:to>
      <xdr:col>12</xdr:col>
      <xdr:colOff>507436</xdr:colOff>
      <xdr:row>48</xdr:row>
      <xdr:rowOff>104705</xdr:rowOff>
    </xdr:to>
    <xdr:graphicFrame macro="">
      <xdr:nvGraphicFramePr>
        <xdr:cNvPr id="26" name="Chart 25">
          <a:extLst>
            <a:ext uri="{FF2B5EF4-FFF2-40B4-BE49-F238E27FC236}">
              <a16:creationId xmlns:a16="http://schemas.microsoft.com/office/drawing/2014/main" id="{8AEFD382-C580-4D87-9A08-839A74F68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543842</xdr:colOff>
      <xdr:row>33</xdr:row>
      <xdr:rowOff>82973</xdr:rowOff>
    </xdr:from>
    <xdr:to>
      <xdr:col>16</xdr:col>
      <xdr:colOff>1016000</xdr:colOff>
      <xdr:row>48</xdr:row>
      <xdr:rowOff>92286</xdr:rowOff>
    </xdr:to>
    <xdr:graphicFrame macro="">
      <xdr:nvGraphicFramePr>
        <xdr:cNvPr id="27" name="Chart 26">
          <a:extLst>
            <a:ext uri="{FF2B5EF4-FFF2-40B4-BE49-F238E27FC236}">
              <a16:creationId xmlns:a16="http://schemas.microsoft.com/office/drawing/2014/main" id="{4EA0D504-B401-4259-96C1-6EFEE83A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0</xdr:row>
      <xdr:rowOff>0</xdr:rowOff>
    </xdr:from>
    <xdr:to>
      <xdr:col>0</xdr:col>
      <xdr:colOff>586740</xdr:colOff>
      <xdr:row>1</xdr:row>
      <xdr:rowOff>411480</xdr:rowOff>
    </xdr:to>
    <xdr:pic>
      <xdr:nvPicPr>
        <xdr:cNvPr id="34" name="Graphic 33" descr="Bar chart with solid fill">
          <a:extLst>
            <a:ext uri="{FF2B5EF4-FFF2-40B4-BE49-F238E27FC236}">
              <a16:creationId xmlns:a16="http://schemas.microsoft.com/office/drawing/2014/main" id="{DF93BC90-98B2-5C1F-7D6B-57BF670AE35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0"/>
          <a:ext cx="586740" cy="586740"/>
        </a:xfrm>
        <a:prstGeom prst="rect">
          <a:avLst/>
        </a:prstGeom>
      </xdr:spPr>
    </xdr:pic>
    <xdr:clientData/>
  </xdr:twoCellAnchor>
  <xdr:twoCellAnchor editAs="oneCell">
    <xdr:from>
      <xdr:col>0</xdr:col>
      <xdr:colOff>0</xdr:colOff>
      <xdr:row>25</xdr:row>
      <xdr:rowOff>137161</xdr:rowOff>
    </xdr:from>
    <xdr:to>
      <xdr:col>2</xdr:col>
      <xdr:colOff>358140</xdr:colOff>
      <xdr:row>33</xdr:row>
      <xdr:rowOff>121921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82EC387-673D-E8E4-A394-05520EEC77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10540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160020</xdr:rowOff>
    </xdr:from>
    <xdr:to>
      <xdr:col>2</xdr:col>
      <xdr:colOff>358140</xdr:colOff>
      <xdr:row>47</xdr:row>
      <xdr:rowOff>59055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B79FB047-A336-A9D6-30C3-E458FA3754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65303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83821</xdr:rowOff>
    </xdr:from>
    <xdr:to>
      <xdr:col>2</xdr:col>
      <xdr:colOff>358140</xdr:colOff>
      <xdr:row>11</xdr:row>
      <xdr:rowOff>99061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D9902C50-B903-2D6B-01D7-09D76155E6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72212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30480</xdr:rowOff>
    </xdr:from>
    <xdr:to>
      <xdr:col>2</xdr:col>
      <xdr:colOff>358140</xdr:colOff>
      <xdr:row>25</xdr:row>
      <xdr:rowOff>104775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F43EC326-012E-BFB1-1707-502FD0CA829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7203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45720</xdr:rowOff>
    </xdr:from>
    <xdr:to>
      <xdr:col>21</xdr:col>
      <xdr:colOff>45720</xdr:colOff>
      <xdr:row>28</xdr:row>
      <xdr:rowOff>76200</xdr:rowOff>
    </xdr:to>
    <xdr:sp macro="" textlink="">
      <xdr:nvSpPr>
        <xdr:cNvPr id="2" name="Rectangle 1">
          <a:extLst>
            <a:ext uri="{FF2B5EF4-FFF2-40B4-BE49-F238E27FC236}">
              <a16:creationId xmlns:a16="http://schemas.microsoft.com/office/drawing/2014/main" id="{296EC69F-0151-C892-0062-45CB0AF47FFD}"/>
            </a:ext>
          </a:extLst>
        </xdr:cNvPr>
        <xdr:cNvSpPr/>
      </xdr:nvSpPr>
      <xdr:spPr>
        <a:xfrm>
          <a:off x="30480" y="45720"/>
          <a:ext cx="14097000" cy="4937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xdr:colOff>
      <xdr:row>0</xdr:row>
      <xdr:rowOff>30480</xdr:rowOff>
    </xdr:from>
    <xdr:to>
      <xdr:col>21</xdr:col>
      <xdr:colOff>15240</xdr:colOff>
      <xdr:row>28</xdr:row>
      <xdr:rowOff>53340</xdr:rowOff>
    </xdr:to>
    <xdr:sp macro="" textlink="">
      <xdr:nvSpPr>
        <xdr:cNvPr id="3" name="TextBox 2">
          <a:extLst>
            <a:ext uri="{FF2B5EF4-FFF2-40B4-BE49-F238E27FC236}">
              <a16:creationId xmlns:a16="http://schemas.microsoft.com/office/drawing/2014/main" id="{1B327B88-2702-3DE9-1C2E-186E9266CBEB}"/>
            </a:ext>
          </a:extLst>
        </xdr:cNvPr>
        <xdr:cNvSpPr txBox="1"/>
      </xdr:nvSpPr>
      <xdr:spPr>
        <a:xfrm>
          <a:off x="22860" y="30480"/>
          <a:ext cx="14074140" cy="4930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sng" strike="noStrike">
              <a:solidFill>
                <a:schemeClr val="dk1"/>
              </a:solidFill>
              <a:effectLst/>
              <a:latin typeface="Arial Black" panose="020B0A04020102020204" pitchFamily="34" charset="0"/>
              <a:ea typeface="+mn-ea"/>
              <a:cs typeface="+mn-cs"/>
            </a:rPr>
            <a:t>INSIGHTS :</a:t>
          </a:r>
        </a:p>
        <a:p>
          <a:pPr algn="l"/>
          <a:endParaRPr lang="en-IN" sz="1800" b="1" i="0" u="sng" strike="noStrike">
            <a:solidFill>
              <a:schemeClr val="dk1"/>
            </a:solidFill>
            <a:effectLst/>
            <a:latin typeface="+mn-lt"/>
            <a:ea typeface="+mn-ea"/>
            <a:cs typeface="+mn-cs"/>
          </a:endParaRP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Total sales declined -</a:t>
          </a:r>
          <a:r>
            <a:rPr lang="en-IN" sz="1400" b="1" i="0" u="none" strike="noStrike">
              <a:solidFill>
                <a:schemeClr val="dk1"/>
              </a:solidFill>
              <a:effectLst/>
              <a:latin typeface="Arial" panose="020B0604020202020204" pitchFamily="34" charset="0"/>
              <a:ea typeface="+mn-ea"/>
              <a:cs typeface="Arial" panose="020B0604020202020204" pitchFamily="34" charset="0"/>
            </a:rPr>
            <a:t>25.8% YoY (2025 vs 2024)</a:t>
          </a:r>
          <a:r>
            <a:rPr lang="en-IN" sz="1400" b="0" i="0" u="none" strike="noStrike">
              <a:solidFill>
                <a:schemeClr val="dk1"/>
              </a:solidFill>
              <a:effectLst/>
              <a:latin typeface="Arial" panose="020B0604020202020204" pitchFamily="34" charset="0"/>
              <a:ea typeface="+mn-ea"/>
              <a:cs typeface="Arial" panose="020B0604020202020204" pitchFamily="34" charset="0"/>
            </a:rPr>
            <a:t>; profit declined -</a:t>
          </a:r>
          <a:r>
            <a:rPr lang="en-IN" sz="1400" b="1" i="0" u="none" strike="noStrike">
              <a:solidFill>
                <a:schemeClr val="dk1"/>
              </a:solidFill>
              <a:effectLst/>
              <a:latin typeface="Arial" panose="020B0604020202020204" pitchFamily="34" charset="0"/>
              <a:ea typeface="+mn-ea"/>
              <a:cs typeface="Arial" panose="020B0604020202020204" pitchFamily="34" charset="0"/>
            </a:rPr>
            <a:t>26.1%</a:t>
          </a:r>
          <a:r>
            <a:rPr lang="en-IN" sz="1400" b="0" i="0" u="none" strike="noStrike">
              <a:solidFill>
                <a:schemeClr val="dk1"/>
              </a:solidFill>
              <a:effectLst/>
              <a:latin typeface="Arial" panose="020B0604020202020204" pitchFamily="34" charset="0"/>
              <a:ea typeface="+mn-ea"/>
              <a:cs typeface="Arial" panose="020B0604020202020204" pitchFamily="34" charset="0"/>
            </a:rPr>
            <a:t>, and orders decreased -</a:t>
          </a:r>
          <a:r>
            <a:rPr lang="en-IN" sz="1400" b="1" i="0" u="none" strike="noStrike">
              <a:solidFill>
                <a:schemeClr val="dk1"/>
              </a:solidFill>
              <a:effectLst/>
              <a:latin typeface="Arial" panose="020B0604020202020204" pitchFamily="34" charset="0"/>
              <a:ea typeface="+mn-ea"/>
              <a:cs typeface="Arial" panose="020B0604020202020204" pitchFamily="34" charset="0"/>
            </a:rPr>
            <a:t>27.6%</a:t>
          </a:r>
          <a:r>
            <a:rPr lang="en-IN" sz="1400" b="0" i="0" u="none" strike="noStrike">
              <a:solidFill>
                <a:schemeClr val="dk1"/>
              </a:solidFill>
              <a:effectLst/>
              <a:latin typeface="Arial" panose="020B0604020202020204" pitchFamily="34" charset="0"/>
              <a:ea typeface="+mn-ea"/>
              <a:cs typeface="Arial" panose="020B0604020202020204" pitchFamily="34" charset="0"/>
            </a:rPr>
            <a:t>.</a:t>
          </a:r>
          <a:r>
            <a:rPr lang="en-IN" sz="1400">
              <a:effectLst/>
              <a:latin typeface="Arial" panose="020B0604020202020204" pitchFamily="34" charset="0"/>
              <a:cs typeface="Arial" panose="020B0604020202020204" pitchFamily="34" charset="0"/>
            </a:rPr>
            <a:t> </a:t>
          </a:r>
        </a:p>
        <a:p>
          <a:pPr algn="l"/>
          <a:endParaRPr lang="en-IN" sz="1400" b="1" i="0" u="none" strike="noStrike">
            <a:solidFill>
              <a:schemeClr val="dk1"/>
            </a:solidFill>
            <a:effectLst/>
            <a:latin typeface="Arial" panose="020B0604020202020204" pitchFamily="34" charset="0"/>
            <a:ea typeface="+mn-ea"/>
            <a:cs typeface="Arial" panose="020B0604020202020204" pitchFamily="34" charset="0"/>
          </a:endParaRPr>
        </a:p>
        <a:p>
          <a:pPr algn="l"/>
          <a:r>
            <a:rPr lang="en-IN" sz="1400" b="1" i="0" u="none" strike="noStrike">
              <a:solidFill>
                <a:schemeClr val="dk1"/>
              </a:solidFill>
              <a:effectLst/>
              <a:latin typeface="Arial" panose="020B0604020202020204" pitchFamily="34" charset="0"/>
              <a:ea typeface="+mn-ea"/>
              <a:cs typeface="Arial" panose="020B0604020202020204" pitchFamily="34" charset="0"/>
            </a:rPr>
            <a:t>AOV increased ~2.4%</a:t>
          </a:r>
          <a:r>
            <a:rPr lang="en-IN" sz="1400" b="0" i="0" u="none" strike="noStrike">
              <a:solidFill>
                <a:schemeClr val="dk1"/>
              </a:solidFill>
              <a:effectLst/>
              <a:latin typeface="Arial" panose="020B0604020202020204" pitchFamily="34" charset="0"/>
              <a:ea typeface="+mn-ea"/>
              <a:cs typeface="Arial" panose="020B0604020202020204" pitchFamily="34" charset="0"/>
            </a:rPr>
            <a:t>, indicating higher value per order despite fewer orders.</a:t>
          </a:r>
        </a:p>
        <a:p>
          <a:pPr algn="l"/>
          <a:endParaRPr lang="en-IN" sz="1400">
            <a:effectLst/>
            <a:latin typeface="Arial" panose="020B0604020202020204" pitchFamily="34" charset="0"/>
            <a:cs typeface="Arial" panose="020B0604020202020204" pitchFamily="34" charset="0"/>
          </a:endParaRP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Peak sales in the period occurred in </a:t>
          </a:r>
          <a:r>
            <a:rPr lang="en-IN" sz="1400" b="1" i="0" u="none" strike="noStrike">
              <a:solidFill>
                <a:schemeClr val="dk1"/>
              </a:solidFill>
              <a:effectLst/>
              <a:latin typeface="Arial" panose="020B0604020202020204" pitchFamily="34" charset="0"/>
              <a:ea typeface="+mn-ea"/>
              <a:cs typeface="Arial" panose="020B0604020202020204" pitchFamily="34" charset="0"/>
            </a:rPr>
            <a:t>Apr 2025</a:t>
          </a:r>
          <a:r>
            <a:rPr lang="en-IN" sz="1400" b="0" i="0" u="none" strike="noStrike">
              <a:solidFill>
                <a:schemeClr val="dk1"/>
              </a:solidFill>
              <a:effectLst/>
              <a:latin typeface="Arial" panose="020B0604020202020204" pitchFamily="34" charset="0"/>
              <a:ea typeface="+mn-ea"/>
              <a:cs typeface="Arial" panose="020B0604020202020204" pitchFamily="34" charset="0"/>
            </a:rPr>
            <a:t> and </a:t>
          </a:r>
          <a:r>
            <a:rPr lang="en-IN" sz="1400" b="1" i="0" u="none" strike="noStrike">
              <a:solidFill>
                <a:schemeClr val="dk1"/>
              </a:solidFill>
              <a:effectLst/>
              <a:latin typeface="Arial" panose="020B0604020202020204" pitchFamily="34" charset="0"/>
              <a:ea typeface="+mn-ea"/>
              <a:cs typeface="Arial" panose="020B0604020202020204" pitchFamily="34" charset="0"/>
            </a:rPr>
            <a:t>Jul 2025</a:t>
          </a:r>
          <a:r>
            <a:rPr lang="en-IN" sz="1400" b="0" i="0" u="none" strike="noStrike">
              <a:solidFill>
                <a:schemeClr val="dk1"/>
              </a:solidFill>
              <a:effectLst/>
              <a:latin typeface="Arial" panose="020B0604020202020204" pitchFamily="34" charset="0"/>
              <a:ea typeface="+mn-ea"/>
              <a:cs typeface="Arial" panose="020B0604020202020204" pitchFamily="34" charset="0"/>
            </a:rPr>
            <a:t>; </a:t>
          </a:r>
          <a:r>
            <a:rPr lang="en-IN" sz="1400" b="1" i="0" u="none" strike="noStrike">
              <a:solidFill>
                <a:schemeClr val="dk1"/>
              </a:solidFill>
              <a:effectLst/>
              <a:latin typeface="Arial" panose="020B0604020202020204" pitchFamily="34" charset="0"/>
              <a:ea typeface="+mn-ea"/>
              <a:cs typeface="Arial" panose="020B0604020202020204" pitchFamily="34" charset="0"/>
            </a:rPr>
            <a:t>Jun–Aug 2025</a:t>
          </a:r>
          <a:r>
            <a:rPr lang="en-IN" sz="1400" b="0" i="0" u="none" strike="noStrike">
              <a:solidFill>
                <a:schemeClr val="dk1"/>
              </a:solidFill>
              <a:effectLst/>
              <a:latin typeface="Arial" panose="020B0604020202020204" pitchFamily="34" charset="0"/>
              <a:ea typeface="+mn-ea"/>
              <a:cs typeface="Arial" panose="020B0604020202020204" pitchFamily="34" charset="0"/>
            </a:rPr>
            <a:t> shows dips  [investigate seasonality or stock/fulfillment issues.]</a:t>
          </a:r>
          <a:r>
            <a:rPr lang="en-IN" sz="1400">
              <a:effectLst/>
              <a:latin typeface="Arial" panose="020B0604020202020204" pitchFamily="34" charset="0"/>
              <a:cs typeface="Arial" panose="020B0604020202020204" pitchFamily="34" charset="0"/>
            </a:rPr>
            <a:t> </a:t>
          </a: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 </a:t>
          </a:r>
        </a:p>
        <a:p>
          <a:pPr algn="l"/>
          <a:r>
            <a:rPr lang="en-IN" sz="1400" b="0" i="0" u="none" strike="noStrike">
              <a:solidFill>
                <a:schemeClr val="dk1"/>
              </a:solidFill>
              <a:effectLst/>
              <a:latin typeface="Arial" panose="020B0604020202020204" pitchFamily="34" charset="0"/>
              <a:ea typeface="+mn-ea"/>
              <a:cs typeface="Arial" panose="020B0604020202020204" pitchFamily="34" charset="0"/>
            </a:rPr>
            <a:t>Top revenue drivers: </a:t>
          </a:r>
          <a:r>
            <a:rPr lang="en-IN" sz="1400" b="1" i="0" u="none" strike="noStrike">
              <a:solidFill>
                <a:schemeClr val="dk1"/>
              </a:solidFill>
              <a:effectLst/>
              <a:latin typeface="Arial" panose="020B0604020202020204" pitchFamily="34" charset="0"/>
              <a:ea typeface="+mn-ea"/>
              <a:cs typeface="Arial" panose="020B0604020202020204" pitchFamily="34" charset="0"/>
            </a:rPr>
            <a:t>Printer, Mouse, Headphone, Monitor, Tablet</a:t>
          </a:r>
          <a:r>
            <a:rPr lang="en-IN" sz="1400" b="0" i="0" u="none" strike="noStrike">
              <a:solidFill>
                <a:schemeClr val="dk1"/>
              </a:solidFill>
              <a:effectLst/>
              <a:latin typeface="Arial" panose="020B0604020202020204" pitchFamily="34" charset="0"/>
              <a:ea typeface="+mn-ea"/>
              <a:cs typeface="Arial" panose="020B0604020202020204" pitchFamily="34" charset="0"/>
            </a:rPr>
            <a:t> [focus marketing &amp; inventory here.]</a:t>
          </a:r>
          <a:r>
            <a:rPr lang="en-IN" sz="1400">
              <a:effectLst/>
              <a:latin typeface="Arial" panose="020B0604020202020204" pitchFamily="34" charset="0"/>
              <a:cs typeface="Arial" panose="020B0604020202020204" pitchFamily="34" charset="0"/>
            </a:rPr>
            <a:t> </a:t>
          </a:r>
        </a:p>
        <a:p>
          <a:pPr algn="l"/>
          <a:endParaRPr lang="en-IN" sz="1800" b="1" i="0" u="sng" strike="noStrike">
            <a:solidFill>
              <a:schemeClr val="dk1"/>
            </a:solidFill>
            <a:effectLst/>
            <a:latin typeface="Arial" panose="020B0604020202020204" pitchFamily="34" charset="0"/>
            <a:ea typeface="+mn-ea"/>
            <a:cs typeface="Arial" panose="020B0604020202020204" pitchFamily="34" charset="0"/>
          </a:endParaRPr>
        </a:p>
        <a:p>
          <a:endParaRPr lang="en-IN" sz="1100" b="1" i="0" u="sng" strike="noStrike">
            <a:solidFill>
              <a:schemeClr val="dk1"/>
            </a:solidFill>
            <a:effectLst/>
            <a:latin typeface="+mn-lt"/>
            <a:ea typeface="+mn-ea"/>
            <a:cs typeface="+mn-cs"/>
          </a:endParaRPr>
        </a:p>
        <a:p>
          <a:endParaRPr lang="en-IN" sz="1800" b="1" i="0" u="sng" strike="noStrike">
            <a:solidFill>
              <a:schemeClr val="dk1"/>
            </a:solidFill>
            <a:effectLst/>
            <a:latin typeface="+mn-lt"/>
            <a:ea typeface="+mn-ea"/>
            <a:cs typeface="+mn-cs"/>
          </a:endParaRPr>
        </a:p>
        <a:p>
          <a:pPr algn="ctr"/>
          <a:r>
            <a:rPr lang="en-IN" sz="1800" b="1" i="0" u="sng" strike="noStrike">
              <a:solidFill>
                <a:schemeClr val="dk1"/>
              </a:solidFill>
              <a:effectLst/>
              <a:latin typeface="Arial Black" panose="020B0A04020102020204" pitchFamily="34" charset="0"/>
              <a:ea typeface="+mn-ea"/>
              <a:cs typeface="+mn-cs"/>
            </a:rPr>
            <a:t>RECOMMENDATIONS</a:t>
          </a:r>
          <a:r>
            <a:rPr lang="en-IN" sz="1800" b="1" i="0" u="none" strike="noStrike">
              <a:solidFill>
                <a:schemeClr val="dk1"/>
              </a:solidFill>
              <a:effectLst/>
              <a:latin typeface="Arial Black" panose="020B0A04020102020204" pitchFamily="34" charset="0"/>
              <a:ea typeface="+mn-ea"/>
              <a:cs typeface="+mn-cs"/>
            </a:rPr>
            <a:t> :</a:t>
          </a:r>
          <a:r>
            <a:rPr lang="en-IN" sz="1800">
              <a:effectLst/>
              <a:latin typeface="Arial Black" panose="020B0A04020102020204" pitchFamily="34" charset="0"/>
            </a:rPr>
            <a:t> </a:t>
          </a:r>
        </a:p>
        <a:p>
          <a:pPr algn="ctr"/>
          <a:endParaRPr lang="en-IN">
            <a:effectLst/>
          </a:endParaRPr>
        </a:p>
        <a:p>
          <a:pPr algn="ctr"/>
          <a:endParaRPr lang="en-IN">
            <a:effectLst/>
          </a:endParaRPr>
        </a:p>
        <a:p>
          <a:r>
            <a:rPr lang="en-IN" sz="1400" b="0" i="0" u="none" strike="noStrike">
              <a:solidFill>
                <a:schemeClr val="dk1"/>
              </a:solidFill>
              <a:effectLst/>
              <a:latin typeface="Arial" panose="020B0604020202020204" pitchFamily="34" charset="0"/>
              <a:ea typeface="+mn-ea"/>
              <a:cs typeface="Arial" panose="020B0604020202020204" pitchFamily="34" charset="0"/>
            </a:rPr>
            <a:t>Prioritize customer acquisition &amp; retention campaigns in regions with the sharpest declines, and run targeted promotions to convert AOV gains into more orders.</a:t>
          </a:r>
        </a:p>
        <a:p>
          <a:endParaRPr lang="en-IN" sz="1400">
            <a:effectLst/>
            <a:latin typeface="Arial" panose="020B0604020202020204" pitchFamily="34" charset="0"/>
            <a:cs typeface="Arial" panose="020B0604020202020204" pitchFamily="34" charset="0"/>
          </a:endParaRPr>
        </a:p>
        <a:p>
          <a:r>
            <a:rPr lang="en-IN" sz="1400" b="0" i="0" u="none" strike="noStrike">
              <a:solidFill>
                <a:schemeClr val="dk1"/>
              </a:solidFill>
              <a:effectLst/>
              <a:latin typeface="Arial" panose="020B0604020202020204" pitchFamily="34" charset="0"/>
              <a:ea typeface="+mn-ea"/>
              <a:cs typeface="Arial" panose="020B0604020202020204" pitchFamily="34" charset="0"/>
            </a:rPr>
            <a:t>Consider bundle offers with lower-performing products to lift overall order count</a:t>
          </a:r>
        </a:p>
        <a:p>
          <a:r>
            <a:rPr lang="en-IN" sz="1400">
              <a:effectLst/>
              <a:latin typeface="Arial" panose="020B0604020202020204" pitchFamily="34" charset="0"/>
              <a:cs typeface="Arial" panose="020B0604020202020204" pitchFamily="34" charset="0"/>
            </a:rPr>
            <a:t> </a:t>
          </a:r>
        </a:p>
        <a:p>
          <a:r>
            <a:rPr lang="en-IN" sz="1400" b="0" i="0" u="none" strike="noStrike">
              <a:solidFill>
                <a:schemeClr val="dk1"/>
              </a:solidFill>
              <a:effectLst/>
              <a:latin typeface="Arial" panose="020B0604020202020204" pitchFamily="34" charset="0"/>
              <a:ea typeface="+mn-ea"/>
              <a:cs typeface="Arial" panose="020B0604020202020204" pitchFamily="34" charset="0"/>
            </a:rPr>
            <a:t>Check if promotions ran in March–April or July; investigate supply/fulfillment issues in June/Aug.</a:t>
          </a:r>
          <a:r>
            <a:rPr lang="en-IN" sz="1400">
              <a:effectLst/>
              <a:latin typeface="Arial" panose="020B0604020202020204" pitchFamily="34" charset="0"/>
              <a:cs typeface="Arial" panose="020B0604020202020204" pitchFamily="34" charset="0"/>
            </a:rPr>
            <a:t> </a:t>
          </a:r>
          <a:endParaRPr lang="en-IN" sz="1400">
            <a:latin typeface="Arial" panose="020B060402020202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mohd arman" id="{3255EB49-6D5C-4ACB-8B76-01644BA32159}" userId="9c998929ab8cb9dc"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68749997" createdVersion="8" refreshedVersion="8" minRefreshableVersion="3" recordCount="0" supportSubquery="1" supportAdvancedDrill="1" xr:uid="{2E95635B-BC2C-4074-9C20-0501EEA33769}">
  <cacheSource type="external" connectionId="3"/>
  <cacheFields count="5">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69097221" createdVersion="8" refreshedVersion="8" minRefreshableVersion="3" recordCount="0" supportSubquery="1" supportAdvancedDrill="1" xr:uid="{E13BF126-5EE4-450A-95F7-8DF183C4B6A3}">
  <cacheSource type="external" connectionId="3"/>
  <cacheFields count="13">
    <cacheField name="[sales_data].[Month].[Month]" caption="Month" numFmtId="0" hierarchy="7" level="1">
      <sharedItems count="12">
        <s v="Apr"/>
        <s v="Aug"/>
        <s v="Dec"/>
        <s v="Feb"/>
        <s v="Jan"/>
        <s v="Jul"/>
        <s v="Jun"/>
        <s v="Mar"/>
        <s v="May"/>
        <s v="Nov"/>
        <s v="Oct"/>
        <s v="Sep"/>
      </sharedItems>
    </cacheField>
    <cacheField name="[Measures].[Sum of Sales 2]" caption="Sum of Sales 2" numFmtId="0" hierarchy="20" level="32767"/>
    <cacheField name="[Measures].[Sum of Profit]" caption="Sum of Profit" numFmtId="0" hierarchy="21" level="32767"/>
    <cacheField name="[sales_data].[Year].[Year]" caption="Year" numFmtId="0" hierarchy="6" level="1">
      <sharedItems count="2">
        <s v="2024"/>
        <s v="2025"/>
      </sharedItems>
      <extLst>
        <ext xmlns:x15="http://schemas.microsoft.com/office/spreadsheetml/2010/11/main" uri="{4F2E5C28-24EA-4eb8-9CBF-B6C8F9C3D259}">
          <x15:cachedUniqueNames>
            <x15:cachedUniqueName index="0" name="[sales_data].[Year].&amp;[2024]"/>
            <x15:cachedUniqueName index="1" name="[sales_data].[Year].&amp;[2025]"/>
          </x15:cachedUniqueNames>
        </ext>
      </extLst>
    </cacheField>
    <cacheField name="[Measures].[mom%]" caption="mom%" numFmtId="0" hierarchy="29" level="32767"/>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unt="21">
        <s v="January"/>
        <s v="February"/>
        <s v="March"/>
        <s v="April"/>
        <s v="May"/>
        <s v="June"/>
        <s v="July"/>
        <s v="August"/>
        <s v="September"/>
        <s v="January" u="1"/>
        <s v="February" u="1"/>
        <s v="March" u="1"/>
        <s v="April" u="1"/>
        <s v="May" u="1"/>
        <s v="June" u="1"/>
        <s v="July" u="1"/>
        <s v="August" u="1"/>
        <s v="September" u="1"/>
        <s v="October" u="1"/>
        <s v="November" u="1"/>
        <s v="December" u="1"/>
      </sharedItems>
      <extLst>
        <ext xmlns:x15="http://schemas.microsoft.com/office/spreadsheetml/2010/11/main" uri="{4F2E5C28-24EA-4eb8-9CBF-B6C8F9C3D259}">
          <x15:cachedUniqueNames>
            <x15:cachedUniqueName index="0" name="[Calendar].[Date Hierarchy].[Year].&amp;[2025].&amp;[January]"/>
            <x15:cachedUniqueName index="1" name="[Calendar].[Date Hierarchy].[Year].&amp;[2025].&amp;[February]"/>
            <x15:cachedUniqueName index="2" name="[Calendar].[Date Hierarchy].[Year].&amp;[2025].&amp;[March]"/>
            <x15:cachedUniqueName index="3" name="[Calendar].[Date Hierarchy].[Year].&amp;[2025].&amp;[April]"/>
            <x15:cachedUniqueName index="4" name="[Calendar].[Date Hierarchy].[Year].&amp;[2025].&amp;[May]"/>
            <x15:cachedUniqueName index="5" name="[Calendar].[Date Hierarchy].[Year].&amp;[2025].&amp;[June]"/>
            <x15:cachedUniqueName index="6" name="[Calendar].[Date Hierarchy].[Year].&amp;[2025].&amp;[July]"/>
            <x15:cachedUniqueName index="7" name="[Calendar].[Date Hierarchy].[Year].&amp;[2025].&amp;[August]"/>
            <x15:cachedUniqueName index="8" name="[Calendar].[Date Hierarchy].[Year].&amp;[2025].&amp;[September]"/>
            <x15:cachedUniqueName index="9" name="[Calendar].[Date Hierarchy].[Year].&amp;[2024].&amp;[January]"/>
            <x15:cachedUniqueName index="10" name="[Calendar].[Date Hierarchy].[Year].&amp;[2024].&amp;[February]"/>
            <x15:cachedUniqueName index="11" name="[Calendar].[Date Hierarchy].[Year].&amp;[2024].&amp;[March]"/>
            <x15:cachedUniqueName index="12" name="[Calendar].[Date Hierarchy].[Year].&amp;[2024].&amp;[April]"/>
            <x15:cachedUniqueName index="13" name="[Calendar].[Date Hierarchy].[Year].&amp;[2024].&amp;[May]"/>
            <x15:cachedUniqueName index="14" name="[Calendar].[Date Hierarchy].[Year].&amp;[2024].&amp;[June]"/>
            <x15:cachedUniqueName index="15" name="[Calendar].[Date Hierarchy].[Year].&amp;[2024].&amp;[July]"/>
            <x15:cachedUniqueName index="16" name="[Calendar].[Date Hierarchy].[Year].&amp;[2024].&amp;[August]"/>
            <x15:cachedUniqueName index="17" name="[Calendar].[Date Hierarchy].[Year].&amp;[2024].&amp;[September]"/>
            <x15:cachedUniqueName index="18" name="[Calendar].[Date Hierarchy].[Year].&amp;[2024].&amp;[October]"/>
            <x15:cachedUniqueName index="19" name="[Calendar].[Date Hierarchy].[Year].&amp;[2024].&amp;[November]"/>
            <x15:cachedUniqueName index="20" name="[Calendar].[Date Hierarchy].[Year].&amp;[2024].&amp;[December]"/>
          </x15:cachedUniqueNames>
        </ext>
      </extLst>
    </cacheField>
    <cacheField name="[Calendar].[Date Hierarchy].[DateColumn]" caption="DateColumn" numFmtId="0" hierarchy="1" level="3">
      <sharedItems containsSemiMixedTypes="0" containsNonDate="0" containsString="0"/>
    </cacheField>
    <cacheField name="[Measures].[Average of Discount %]" caption="Average of Discount %" numFmtId="0" hierarchy="24" level="32767"/>
    <cacheField name="[Measures].[Count of OrderID]" caption="Count of OrderID" numFmtId="0" hierarchy="26" level="32767"/>
    <cacheField name="[Measures].[Average of Sales]" caption="Average of Sales" numFmtId="0" hierarchy="27" level="32767"/>
    <cacheField name="[Measures].[count%]" caption="count%" numFmtId="0" hierarchy="32" level="32767"/>
    <cacheField name="[Measures].[profit%]" caption="profit%" numFmtId="0" hierarchy="30"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130" unbalanced="0">
      <fieldsUsage count="2">
        <fieldUsage x="-1"/>
        <fieldUsage x="3"/>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2"/>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oneField="1">
      <fieldsUsage count="1">
        <fieldUsage x="8"/>
      </fieldsUsage>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oneField="1">
      <fieldsUsage count="1">
        <fieldUsage x="9"/>
      </fieldsUsage>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oneField="1">
      <fieldsUsage count="1">
        <fieldUsage x="10"/>
      </fieldsUsage>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oneField="1">
      <fieldsUsage count="1">
        <fieldUsage x="4"/>
      </fieldsUsage>
    </cacheHierarchy>
    <cacheHierarchy uniqueName="[Measures].[profit%]" caption="profit%" measure="1" displayFolder="" measureGroup="sales_data" count="0" oneField="1">
      <fieldsUsage count="1">
        <fieldUsage x="12"/>
      </fieldsUsage>
    </cacheHierarchy>
    <cacheHierarchy uniqueName="[Measures].[fixed% of total sales]" caption="fixed% of total sales" measure="1" displayFolder="" measureGroup="sales_data" count="0"/>
    <cacheHierarchy uniqueName="[Measures].[count%]" caption="count%" measure="1" displayFolder="" measureGroup="sales_data" count="0" oneField="1">
      <fieldsUsage count="1">
        <fieldUsage x="11"/>
      </fieldsUsage>
    </cacheHierarchy>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69444444" createdVersion="8" refreshedVersion="8" minRefreshableVersion="3" recordCount="0" supportSubquery="1" supportAdvancedDrill="1" xr:uid="{AF87C8F5-32F2-40E6-9338-893596850F27}">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Measures].[fixed% of total sales]" caption="fixed% of total sales" numFmtId="0" hierarchy="3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oneField="1">
      <fieldsUsage count="1">
        <fieldUsage x="4"/>
      </fieldsUsage>
    </cacheHierarchy>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69791667" createdVersion="8" refreshedVersion="8" minRefreshableVersion="3" recordCount="0" supportSubquery="1" supportAdvancedDrill="1" xr:uid="{BD97D5A1-9B22-49B0-BAB2-115378E4CD13}">
  <cacheSource type="external" connectionId="3"/>
  <cacheFields count="7">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sales_data].[Customer].[Customer]" caption="Customer" numFmtId="0" hierarchy="9" level="1">
      <sharedItems count="8">
        <s v="Alice Smith"/>
        <s v="Carlos Diaz"/>
        <s v="Jane Roe"/>
        <s v="Priya Patel"/>
        <s v="Sara Khan"/>
        <s v="Fatima Noor" u="1"/>
        <s v="Tom Brown" u="1"/>
        <s v="Wei Zhang" u="1"/>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0254629" createdVersion="8" refreshedVersion="8" minRefreshableVersion="3" recordCount="0" supportSubquery="1" supportAdvancedDrill="1" xr:uid="{06BDEAD8-9486-45F8-9F29-43C50EFE81F9}">
  <cacheSource type="external" connectionId="3"/>
  <cacheFields count="9">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sales_data].[Customer].[Customer]" caption="Customer" numFmtId="0" hierarchy="9" level="1">
      <sharedItems count="5">
        <s v="Alice Smith"/>
        <s v="Carlos Diaz"/>
        <s v="Jane Roe"/>
        <s v="Priya Patel"/>
        <s v="Sara Khan"/>
      </sharedItems>
    </cacheField>
    <cacheField name="[sales_data].[Salesperson].[Salesperson]" caption="Salesperson" numFmtId="0" hierarchy="11" level="1">
      <sharedItems count="6">
        <s v="Alice"/>
        <s v="Bob"/>
        <s v="Charlie"/>
        <s v="Diana"/>
        <s v="Ethan"/>
        <s v="Fiona"/>
      </sharedItems>
    </cacheField>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4"/>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5"/>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0601852" createdVersion="8" refreshedVersion="8" minRefreshableVersion="3" recordCount="0" supportSubquery="1" supportAdvancedDrill="1" xr:uid="{F89C7D40-1540-41B3-A220-9C631E3BC9C8}">
  <cacheSource type="external" connectionId="3"/>
  <cacheFields count="9">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sales_data].[Customer].[Customer]" caption="Customer" numFmtId="0" hierarchy="9" level="1">
      <sharedItems count="5">
        <s v="Alice Smith"/>
        <s v="Carlos Diaz"/>
        <s v="Jane Roe"/>
        <s v="Priya Patel"/>
        <s v="Sara Khan"/>
      </sharedItems>
    </cacheField>
    <cacheField name="[sales_data].[Salesperson].[Salesperson]" caption="Salesperson" numFmtId="0" hierarchy="11" level="1">
      <sharedItems count="6">
        <s v="Alice"/>
        <s v="Bob"/>
        <s v="Charlie"/>
        <s v="Diana"/>
        <s v="Ethan"/>
        <s v="Fiona"/>
      </sharedItems>
    </cacheField>
    <cacheField name="[sales_data].[Month].[Month]" caption="Month" numFmtId="0" hierarchy="7" level="1">
      <sharedItems count="12">
        <s v="Apr"/>
        <s v="Aug"/>
        <s v="Dec"/>
        <s v="Feb"/>
        <s v="Jan"/>
        <s v="Jul"/>
        <s v="Jun"/>
        <s v="Mar"/>
        <s v="May"/>
        <s v="Nov"/>
        <s v="Oct"/>
        <s v="Sep"/>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5"/>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4"/>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0949075" createdVersion="8" refreshedVersion="8" minRefreshableVersion="3" recordCount="0" supportSubquery="1" supportAdvancedDrill="1" xr:uid="{8D12BACD-0000-47AE-9EF5-755486F9A040}">
  <cacheSource type="external" connectionId="3"/>
  <cacheFields count="7">
    <cacheField name="[sales_data].[Product].[Product]" caption="Product" numFmtId="0" hierarchy="12" level="1">
      <sharedItems count="8">
        <s v="Headphones"/>
        <s v="Keyboard"/>
        <s v="Laptop"/>
        <s v="Monitor"/>
        <s v="Mouse"/>
        <s v="Printer"/>
        <s v="Smartphone"/>
        <s v="Tablet"/>
      </sharedItems>
    </cacheField>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2"/>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3"/>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1296299" createdVersion="8" refreshedVersion="8" minRefreshableVersion="3" recordCount="0" supportSubquery="1" supportAdvancedDrill="1" xr:uid="{1FA8D402-1976-44B1-BF51-E3FA5084EF0D}">
  <cacheSource type="external" connectionId="3"/>
  <cacheFields count="7">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sales_data].[Region].[Region]" caption="Region" numFmtId="0" hierarchy="10" level="1">
      <sharedItems count="4">
        <s v="East"/>
        <s v="North"/>
        <s v="South"/>
        <s v="West"/>
      </sharedItems>
    </cacheField>
    <cacheField name="[Measures].[Count of Customer]" caption="Count of Customer"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oneField="1">
      <fieldsUsage count="1">
        <fieldUsage x="3"/>
      </fieldsUsage>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1643522" createdVersion="8" refreshedVersion="8" minRefreshableVersion="3" recordCount="0" supportSubquery="1" supportAdvancedDrill="1" xr:uid="{5F91E8B2-F620-47A0-AF06-3BC1F647C4CF}">
  <cacheSource type="external" connectionId="3"/>
  <cacheFields count="6">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sales_data].[Month].&amp;[Apr]"/>
            <x15:cachedUniqueName index="1" name="[sales_data].[Month].&amp;[Aug]"/>
            <x15:cachedUniqueName index="2" name="[sales_data].[Month].&amp;[Dec]"/>
            <x15:cachedUniqueName index="3" name="[sales_data].[Month].&amp;[Feb]"/>
            <x15:cachedUniqueName index="4" name="[sales_data].[Month].&amp;[Jan]"/>
            <x15:cachedUniqueName index="5" name="[sales_data].[Month].&amp;[Jul]"/>
            <x15:cachedUniqueName index="6" name="[sales_data].[Month].&amp;[Jun]"/>
            <x15:cachedUniqueName index="7" name="[sales_data].[Month].&amp;[Mar]"/>
            <x15:cachedUniqueName index="8" name="[sales_data].[Month].&amp;[May]"/>
            <x15:cachedUniqueName index="9" name="[sales_data].[Month].&amp;[Nov]"/>
            <x15:cachedUniqueName index="10" name="[sales_data].[Month].&amp;[Oct]"/>
            <x15:cachedUniqueName index="11" name="[sales_data].[Month].&amp;[Sep]"/>
          </x15:cachedUniqueNames>
        </ext>
      </extLst>
    </cacheField>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unt="20">
        <s v="February"/>
        <s v="March"/>
        <s v="April"/>
        <s v="May"/>
        <s v="June"/>
        <s v="July"/>
        <s v="August"/>
        <s v="September"/>
        <s v="October"/>
        <s v="November"/>
        <s v="December"/>
        <s v="January"/>
        <s v="February"/>
        <s v="March"/>
        <s v="April"/>
        <s v="May"/>
        <s v="June"/>
        <s v="July"/>
        <s v="August"/>
        <s v="September"/>
      </sharedItems>
      <extLst>
        <ext xmlns:x15="http://schemas.microsoft.com/office/spreadsheetml/2010/11/main" uri="{4F2E5C28-24EA-4eb8-9CBF-B6C8F9C3D259}">
          <x15:cachedUniqueNames>
            <x15:cachedUniqueName index="0" name="[Calendar].[Date Hierarchy].[Year].&amp;[2024].&amp;[February]"/>
            <x15:cachedUniqueName index="1" name="[Calendar].[Date Hierarchy].[Year].&amp;[2024].&amp;[March]"/>
            <x15:cachedUniqueName index="2" name="[Calendar].[Date Hierarchy].[Year].&amp;[2024].&amp;[April]"/>
            <x15:cachedUniqueName index="3" name="[Calendar].[Date Hierarchy].[Year].&amp;[2024].&amp;[May]"/>
            <x15:cachedUniqueName index="4" name="[Calendar].[Date Hierarchy].[Year].&amp;[2024].&amp;[June]"/>
            <x15:cachedUniqueName index="5" name="[Calendar].[Date Hierarchy].[Year].&amp;[2024].&amp;[July]"/>
            <x15:cachedUniqueName index="6" name="[Calendar].[Date Hierarchy].[Year].&amp;[2024].&amp;[August]"/>
            <x15:cachedUniqueName index="7" name="[Calendar].[Date Hierarchy].[Year].&amp;[2024].&amp;[September]"/>
            <x15:cachedUniqueName index="8" name="[Calendar].[Date Hierarchy].[Year].&amp;[2024].&amp;[October]"/>
            <x15:cachedUniqueName index="9" name="[Calendar].[Date Hierarchy].[Year].&amp;[2024].&amp;[November]"/>
            <x15:cachedUniqueName index="10" name="[Calendar].[Date Hierarchy].[Year].&amp;[2024].&amp;[December]"/>
            <x15:cachedUniqueName index="11" name="[Calendar].[Date Hierarchy].[Year].&amp;[2025].&amp;[January]"/>
            <x15:cachedUniqueName index="12" name="[Calendar].[Date Hierarchy].[Year].&amp;[2025].&amp;[February]"/>
            <x15:cachedUniqueName index="13" name="[Calendar].[Date Hierarchy].[Year].&amp;[2025].&amp;[March]"/>
            <x15:cachedUniqueName index="14" name="[Calendar].[Date Hierarchy].[Year].&amp;[2025].&amp;[April]"/>
            <x15:cachedUniqueName index="15" name="[Calendar].[Date Hierarchy].[Year].&amp;[2025].&amp;[May]"/>
            <x15:cachedUniqueName index="16" name="[Calendar].[Date Hierarchy].[Year].&amp;[2025].&amp;[June]"/>
            <x15:cachedUniqueName index="17" name="[Calendar].[Date Hierarchy].[Year].&amp;[2025].&amp;[July]"/>
            <x15:cachedUniqueName index="18" name="[Calendar].[Date Hierarchy].[Year].&amp;[2025].&amp;[August]"/>
            <x15:cachedUniqueName index="19" name="[Calendar].[Date Hierarchy].[Year].&amp;[2025].&amp;[September]"/>
          </x15:cachedUniqueNames>
        </ext>
      </extLst>
    </cacheField>
    <cacheField name="[Calendar].[Date Hierarchy].[DateColumn]" caption="DateColumn" numFmtId="0" hierarchy="1" level="3">
      <sharedItems containsSemiMixedTypes="0" containsNonDate="0" containsString="0"/>
    </cacheField>
    <cacheField name="[Measures].[mom%]" caption="mom%" numFmtId="0" hierarchy="29"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oneField="1">
      <fieldsUsage count="1">
        <fieldUsage x="5"/>
      </fieldsUsage>
    </cacheHierarchy>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1990738" createdVersion="8" refreshedVersion="8" minRefreshableVersion="3" recordCount="0" supportSubquery="1" supportAdvancedDrill="1" xr:uid="{7934BCA5-2A18-46F0-9F3E-8D6F709B9851}">
  <cacheSource type="external" connectionId="3"/>
  <cacheFields count="7">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sales_data].[Product].[Product]" caption="Product" numFmtId="0" hierarchy="12" level="1">
      <sharedItems count="8">
        <s v="Headphones"/>
        <s v="Keyboard"/>
        <s v="Laptop"/>
        <s v="Monitor"/>
        <s v="Mouse"/>
        <s v="Printer"/>
        <s v="Smartphone"/>
        <s v="Tablet"/>
      </sharedItems>
    </cacheField>
    <cacheField name="[Measures].[Average of Discount %]" caption="Average of Discount %" numFmtId="0" hierarchy="2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2"/>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oneField="1">
      <fieldsUsage count="1">
        <fieldUsage x="3"/>
      </fieldsUsage>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2337961" createdVersion="8" refreshedVersion="8" minRefreshableVersion="3" recordCount="0" supportSubquery="1" supportAdvancedDrill="1" xr:uid="{BA1FF780-03E0-42A4-8C9E-DBA66F7D435B}">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sales_data].[frequent vs once].[frequent vs once]" caption="frequent vs once" numFmtId="0" hierarchy="19" level="1">
      <sharedItems count="2">
        <s v="F"/>
        <s v="O"/>
      </sharedItems>
    </cacheField>
    <cacheField name="[Measures].[Sum of Sales 2]" caption="Sum of Sales 2" numFmtId="0" hierarchy="20" level="32767"/>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2" memberValueDatatype="130" unbalanced="0">
      <fieldsUsage count="2">
        <fieldUsage x="-1"/>
        <fieldUsage x="2"/>
      </fieldsUsage>
    </cacheHierarchy>
    <cacheHierarchy uniqueName="[Measures].[Sum of Sales 2]" caption="Sum of Sales 2" measure="1" displayFolder="" measureGroup="sales_data" count="0" oneField="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4"/>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2685184" createdVersion="8" refreshedVersion="8" minRefreshableVersion="3" recordCount="0" supportSubquery="1" supportAdvancedDrill="1" xr:uid="{B88B3A42-FA73-4FB9-8CD6-09A9BCAF9A4D}">
  <cacheSource type="external" connectionId="3"/>
  <cacheFields count="7">
    <cacheField name="[sales_data].[Product].[Product]" caption="Product" numFmtId="0" hierarchy="12" level="1">
      <sharedItems count="8">
        <s v="Headphones"/>
        <s v="Keyboard"/>
        <s v="Laptop"/>
        <s v="Monitor"/>
        <s v="Mouse"/>
        <s v="Printer"/>
        <s v="Smartphone"/>
        <s v="Tablet"/>
      </sharedItems>
    </cacheField>
    <cacheField name="[Measures].[Sum of Sales 2]" caption="Sum of Sales 2" numFmtId="0" hierarchy="20" level="32767"/>
    <cacheField name="[sales_data].[Region].[Region]" caption="Region" numFmtId="0" hierarchy="10" level="1">
      <sharedItems count="4">
        <s v="East"/>
        <s v="North"/>
        <s v="South"/>
        <s v="West"/>
      </sharedItems>
    </cacheField>
    <cacheField name="[Measures].[Sum of Profit]" caption="Sum of Profit"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3"/>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3148146" createdVersion="8" refreshedVersion="8" minRefreshableVersion="3" recordCount="0" supportSubquery="1" supportAdvancedDrill="1" xr:uid="{6A254FCA-A3D4-4459-847B-E5EB8CDDF93F}">
  <cacheSource type="external" connectionId="3"/>
  <cacheFields count="7">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8">
        <s v="Apr"/>
        <s v="Aug"/>
        <s v="Feb"/>
        <s v="Jan"/>
        <s v="Jul"/>
        <s v="Jun"/>
        <s v="Mar"/>
        <s v="May"/>
      </sharedItems>
    </cacheField>
    <cacheField name="[sales_data].[Year].[Year]" caption="Year" numFmtId="0" hierarchy="6" level="1">
      <sharedItems count="2">
        <s v="2024"/>
        <s v="2025"/>
      </sharedItems>
    </cacheField>
    <cacheField name="[Measures].[Average of Sales]" caption="Average of Sales" numFmtId="0" hierarchy="2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130" unbalanced="0">
      <fieldsUsage count="2">
        <fieldUsage x="-1"/>
        <fieldUsage x="2"/>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oneField="1">
      <fieldsUsage count="1">
        <fieldUsage x="3"/>
      </fieldsUsage>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3379631" createdVersion="8" refreshedVersion="8" minRefreshableVersion="3" recordCount="0" supportSubquery="1" supportAdvancedDrill="1" xr:uid="{85A1EBEA-8BE8-4694-8F84-1EA64CB7DC18}">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12">
        <s v="Apr"/>
        <s v="Aug"/>
        <s v="Dec"/>
        <s v="Feb"/>
        <s v="Jan"/>
        <s v="Jul"/>
        <s v="Jun"/>
        <s v="Mar"/>
        <s v="May"/>
        <s v="Nov"/>
        <s v="Oct"/>
        <s v="Sep"/>
      </sharedItems>
    </cacheField>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Measures].[Sum of Sales 2]" caption="Sum of Sales 2" numFmtId="0" hierarchy="20" level="32767"/>
    <cacheField name="[Measures].[YOY%]" caption="YOY%" numFmtId="0" hierarchy="3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oneField="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oneField="1">
      <fieldsUsage count="1">
        <fieldUsage x="4"/>
      </fieldsUsage>
    </cacheHierarchy>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92.026373842593" createdVersion="8" refreshedVersion="8" minRefreshableVersion="3" recordCount="0" supportSubquery="1" supportAdvancedDrill="1" xr:uid="{5E4CAEB1-6C55-4E03-990B-41940D1A2B96}">
  <cacheSource type="external" connectionId="3"/>
  <cacheFields count="8">
    <cacheField name="[sales_data].[Customer].[Customer]" caption="Customer" numFmtId="0" hierarchy="9" level="1">
      <sharedItems count="5">
        <s v="Alice Smith"/>
        <s v="Carlos Diaz"/>
        <s v="Jane Roe"/>
        <s v="Priya Patel"/>
        <s v="Sara Khan"/>
      </sharedItems>
    </cacheField>
    <cacheField name="[sales_data].[Month].[Month]" caption="Month" numFmtId="0" hierarchy="7" level="1">
      <sharedItems count="8">
        <s v="Apr"/>
        <s v="Aug"/>
        <s v="Feb"/>
        <s v="Jan"/>
        <s v="Jul"/>
        <s v="Jun"/>
        <s v="Mar"/>
        <s v="May"/>
      </sharedItems>
    </cacheField>
    <cacheField name="[sales_data].[Year].[Year]" caption="Year" numFmtId="0" hierarchy="6" level="1">
      <sharedItems count="2">
        <s v="2024"/>
        <s v="2025"/>
      </sharedItems>
      <extLst>
        <ext xmlns:x15="http://schemas.microsoft.com/office/spreadsheetml/2010/11/main" uri="{4F2E5C28-24EA-4eb8-9CBF-B6C8F9C3D259}">
          <x15:cachedUniqueNames>
            <x15:cachedUniqueName index="0" name="[sales_data].[Year].&amp;[2024]"/>
            <x15:cachedUniqueName index="1" name="[sales_data].[Year].&amp;[2025]"/>
          </x15:cachedUniqueNames>
        </ext>
      </extLst>
    </cacheField>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Sum of Profit]" caption="Sum of Profit" numFmtId="0" hierarchy="21" level="32767"/>
    <cacheField name="[Measures].[profit%year]" caption="profit%year" numFmtId="0" hierarchy="35"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130" unbalanced="0">
      <fieldsUsage count="2">
        <fieldUsage x="-1"/>
        <fieldUsage x="2"/>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fieldsUsage count="1">
        <fieldUsage x="6"/>
      </fieldsUsage>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oneField="1">
      <fieldsUsage count="1">
        <fieldUsage x="7"/>
      </fieldsUsage>
    </cacheHierarchy>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 arman" refreshedDate="46054.132937731483" createdVersion="3" refreshedVersion="8" minRefreshableVersion="3" recordCount="0" supportSubquery="1" supportAdvancedDrill="1" xr:uid="{DCAD4CB4-D367-46D6-AA9C-18889C498317}">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OrderID]" caption="OrderID" attribute="1" defaultMemberUniqueName="[sales_data].[OrderID].[All]" allUniqueName="[sales_data].[OrderID].[All]" dimensionUniqueName="[sales_data]" displayFolder="" count="0" memberValueDatatype="2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 caption="Discount %" attribute="1" defaultMemberUniqueName="[sales_data].[Discount %].[All]" allUniqueName="[sales_data].[Discount %].[All]" dimensionUniqueName="[sales_data]" displayFolder="" count="0" memberValueDatatype="5" unbalanced="0"/>
    <cacheHierarchy uniqueName="[sales_data].[Unit Cost]" caption="Unit Cost" attribute="1" defaultMemberUniqueName="[sales_data].[Unit Cost].[All]" allUniqueName="[sales_data].[Unit Cos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frequent vs once]" caption="frequent vs once" attribute="1" defaultMemberUniqueName="[sales_data].[frequent vs once].[All]" allUniqueName="[sales_data].[frequent vs once].[All]" dimensionUniqueName="[sales_data]" displayFolder="" count="0" memberValueDatatype="130" unbalanced="0"/>
    <cacheHierarchy uniqueName="[Measures].[Sum of Sales 2]" caption="Sum of Sales 2" measure="1" displayFolder="" measureGroup="sales_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8"/>
        </ext>
      </extLst>
    </cacheHierarchy>
    <cacheHierarchy uniqueName="[Measures].[Count of Customer]" caption="Count of Customer" measure="1" displayFolder="" measureGroup="sales_data" count="0">
      <extLst>
        <ext xmlns:x15="http://schemas.microsoft.com/office/spreadsheetml/2010/11/main" uri="{B97F6D7D-B522-45F9-BDA1-12C45D357490}">
          <x15:cacheHierarchy aggregatedColumn="9"/>
        </ext>
      </extLst>
    </cacheHierarchy>
    <cacheHierarchy uniqueName="[Measures].[Sum of Discount %]" caption="Sum of Discount %" measure="1" displayFolder="" measureGroup="sales_data" count="0">
      <extLst>
        <ext xmlns:x15="http://schemas.microsoft.com/office/spreadsheetml/2010/11/main" uri="{B97F6D7D-B522-45F9-BDA1-12C45D357490}">
          <x15:cacheHierarchy aggregatedColumn="15"/>
        </ext>
      </extLst>
    </cacheHierarchy>
    <cacheHierarchy uniqueName="[Measures].[Average of Discount %]" caption="Average of Discount %" measure="1" displayFolder="" measureGroup="sales_data" count="0">
      <extLst>
        <ext xmlns:x15="http://schemas.microsoft.com/office/spreadsheetml/2010/11/main" uri="{B97F6D7D-B522-45F9-BDA1-12C45D357490}">
          <x15:cacheHierarchy aggregatedColumn="15"/>
        </ext>
      </extLst>
    </cacheHierarchy>
    <cacheHierarchy uniqueName="[Measures].[Sum of OrderID]" caption="Sum of OrderID" measure="1" displayFolder="" measureGroup="sales_data" count="0">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_data" count="0">
      <extLst>
        <ext xmlns:x15="http://schemas.microsoft.com/office/spreadsheetml/2010/11/main" uri="{B97F6D7D-B522-45F9-BDA1-12C45D357490}">
          <x15:cacheHierarchy aggregatedColumn="8"/>
        </ext>
      </extLst>
    </cacheHierarchy>
    <cacheHierarchy uniqueName="[Measures].[Average of Sales]" caption="Average of Sales" measure="1" displayFolder="" measureGroup="sales_data" count="0">
      <extLst>
        <ext xmlns:x15="http://schemas.microsoft.com/office/spreadsheetml/2010/11/main" uri="{B97F6D7D-B522-45F9-BDA1-12C45D357490}">
          <x15:cacheHierarchy aggregatedColumn="17"/>
        </ext>
      </extLst>
    </cacheHierarchy>
    <cacheHierarchy uniqueName="[Measures].[Sum of Unit Price]" caption="Sum of Unit Price" measure="1" displayFolder="" measureGroup="sales_data" count="0">
      <extLst>
        <ext xmlns:x15="http://schemas.microsoft.com/office/spreadsheetml/2010/11/main" uri="{B97F6D7D-B522-45F9-BDA1-12C45D357490}">
          <x15:cacheHierarchy aggregatedColumn="14"/>
        </ext>
      </extLst>
    </cacheHierarchy>
    <cacheHierarchy uniqueName="[Measures].[mom%]" caption="mom%" measure="1" displayFolder="" measureGroup="sales_data" count="0"/>
    <cacheHierarchy uniqueName="[Measures].[profit%]" caption="profit%" measure="1" displayFolder="" measureGroup="sales_data" count="0"/>
    <cacheHierarchy uniqueName="[Measures].[fixed% of total sales]" caption="fixed% of total sales" measure="1" displayFolder="" measureGroup="sales_data" count="0"/>
    <cacheHierarchy uniqueName="[Measures].[count%]" caption="count%" measure="1" displayFolder="" measureGroup="sales_data" count="0"/>
    <cacheHierarchy uniqueName="[Measures].[YOY%]" caption="YOY%" measure="1" displayFolder="" measureGroup="sales_data" count="0"/>
    <cacheHierarchy uniqueName="[Measures].[sumofsales]" caption="sumofsales" measure="1" displayFolder="" measureGroup="sales_data" count="0"/>
    <cacheHierarchy uniqueName="[Measures].[profit%year]" caption="profit%year" measure="1" displayFolder="" measureGroup="sales_data" count="0"/>
    <cacheHierarchy uniqueName="[Measures].[__XL_Count Table2]" caption="__XL_Count Table2" measure="1" displayFolder="" measureGroup="sales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72245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FBEB7C-5886-4077-A0FF-A924BF90164C}" name="PivotTable14" cacheId="2256" applyNumberFormats="0" applyBorderFormats="0" applyFontFormats="0" applyPatternFormats="0" applyAlignmentFormats="0" applyWidthHeightFormats="1" dataCaption="Values" tag="ba7dea43-494d-4287-ae77-dc8aff2a2762" updatedVersion="8" minRefreshableVersion="3" useAutoFormatting="1" subtotalHiddenItems="1" itemPrintTitles="1" createdVersion="8" indent="0" outline="1" outlineData="1" multipleFieldFilters="0" chartFormat="9" rowHeaderCaption="Region">
  <location ref="A72:B77"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5">
    <i>
      <x v="3"/>
    </i>
    <i>
      <x/>
    </i>
    <i>
      <x v="1"/>
    </i>
    <i>
      <x v="2"/>
    </i>
    <i t="grand">
      <x/>
    </i>
  </rowItems>
  <colItems count="1">
    <i/>
  </colItems>
  <dataFields count="1">
    <dataField name="Count of Customer" fld="3" subtotal="count" baseField="0" baseItem="0"/>
  </dataFields>
  <formats count="12">
    <format dxfId="2152">
      <pivotArea type="all" dataOnly="0" outline="0" fieldPosition="0"/>
    </format>
    <format dxfId="2153">
      <pivotArea outline="0" collapsedLevelsAreSubtotals="1" fieldPosition="0"/>
    </format>
    <format dxfId="2154">
      <pivotArea field="2" type="button" dataOnly="0" labelOnly="1" outline="0" axis="axisRow" fieldPosition="0"/>
    </format>
    <format dxfId="2155">
      <pivotArea dataOnly="0" labelOnly="1" fieldPosition="0">
        <references count="1">
          <reference field="2" count="0"/>
        </references>
      </pivotArea>
    </format>
    <format dxfId="2156">
      <pivotArea dataOnly="0" labelOnly="1" grandRow="1" outline="0" fieldPosition="0"/>
    </format>
    <format dxfId="2157">
      <pivotArea dataOnly="0" labelOnly="1" outline="0" axis="axisValues" fieldPosition="0"/>
    </format>
    <format dxfId="2158">
      <pivotArea type="all" dataOnly="0" outline="0" fieldPosition="0"/>
    </format>
    <format dxfId="2159">
      <pivotArea outline="0" collapsedLevelsAreSubtotals="1" fieldPosition="0"/>
    </format>
    <format dxfId="2160">
      <pivotArea field="2" type="button" dataOnly="0" labelOnly="1" outline="0" axis="axisRow" fieldPosition="0"/>
    </format>
    <format dxfId="2161">
      <pivotArea dataOnly="0" labelOnly="1" fieldPosition="0">
        <references count="1">
          <reference field="2" count="0"/>
        </references>
      </pivotArea>
    </format>
    <format dxfId="2162">
      <pivotArea dataOnly="0" labelOnly="1" grandRow="1" outline="0" fieldPosition="0"/>
    </format>
    <format dxfId="2163">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9B240-FC25-439D-BEA8-938529220C43}" name="PivotTable17" cacheId="2265" applyNumberFormats="0" applyBorderFormats="0" applyFontFormats="0" applyPatternFormats="0" applyAlignmentFormats="0" applyWidthHeightFormats="1" dataCaption="Values" tag="b5fbf2d7-fe58-4b63-af69-6e5903a7d60e" updatedVersion="8" minRefreshableVersion="3" useAutoFormatting="1" subtotalHiddenItems="1" itemPrintTitles="1" createdVersion="8" indent="0" outline="1" outlineData="1" multipleFieldFilters="0" chartFormat="7" rowHeaderCaption="F&amp;O buyers">
  <location ref="A124:C127"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3">
    <i>
      <x/>
    </i>
    <i>
      <x v="1"/>
    </i>
    <i t="grand">
      <x/>
    </i>
  </rowItems>
  <colFields count="1">
    <field x="-2"/>
  </colFields>
  <colItems count="2">
    <i>
      <x/>
    </i>
    <i i="1">
      <x v="1"/>
    </i>
  </colItems>
  <dataFields count="2">
    <dataField name="Total sales" fld="3" baseField="0" baseItem="0"/>
    <dataField name="Total profit" fld="4" baseField="0" baseItem="0"/>
  </dataFields>
  <formats count="12">
    <format dxfId="2106">
      <pivotArea type="all" dataOnly="0" outline="0" fieldPosition="0"/>
    </format>
    <format dxfId="2107">
      <pivotArea outline="0" collapsedLevelsAreSubtotals="1" fieldPosition="0"/>
    </format>
    <format dxfId="2108">
      <pivotArea field="2" type="button" dataOnly="0" labelOnly="1" outline="0" axis="axisRow" fieldPosition="0"/>
    </format>
    <format dxfId="2109">
      <pivotArea dataOnly="0" labelOnly="1" fieldPosition="0">
        <references count="1">
          <reference field="2" count="0"/>
        </references>
      </pivotArea>
    </format>
    <format dxfId="2110">
      <pivotArea dataOnly="0" labelOnly="1" grandRow="1" outline="0" fieldPosition="0"/>
    </format>
    <format dxfId="2111">
      <pivotArea dataOnly="0" labelOnly="1" outline="0" fieldPosition="0">
        <references count="1">
          <reference field="4294967294" count="2">
            <x v="0"/>
            <x v="1"/>
          </reference>
        </references>
      </pivotArea>
    </format>
    <format dxfId="2112">
      <pivotArea type="all" dataOnly="0" outline="0" fieldPosition="0"/>
    </format>
    <format dxfId="2113">
      <pivotArea outline="0" collapsedLevelsAreSubtotals="1" fieldPosition="0"/>
    </format>
    <format dxfId="2114">
      <pivotArea field="2" type="button" dataOnly="0" labelOnly="1" outline="0" axis="axisRow" fieldPosition="0"/>
    </format>
    <format dxfId="2115">
      <pivotArea dataOnly="0" labelOnly="1" fieldPosition="0">
        <references count="1">
          <reference field="2" count="0"/>
        </references>
      </pivotArea>
    </format>
    <format dxfId="2116">
      <pivotArea dataOnly="0" labelOnly="1" grandRow="1" outline="0" fieldPosition="0"/>
    </format>
    <format dxfId="2117">
      <pivotArea dataOnly="0" labelOnly="1" outline="0" fieldPosition="0">
        <references count="1">
          <reference field="4294967294" count="2">
            <x v="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caption="Average of Discoun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BD409B-F675-4D57-85B0-3F5149BB129B}" name="PivotTable13" cacheId="2253" applyNumberFormats="0" applyBorderFormats="0" applyFontFormats="0" applyPatternFormats="0" applyAlignmentFormats="0" applyWidthHeightFormats="1" dataCaption="Values" tag="08d12634-6b21-41ff-abac-0175a08bc3aa" updatedVersion="8" minRefreshableVersion="3" useAutoFormatting="1" subtotalHiddenItems="1" itemPrintTitles="1" createdVersion="8" indent="0" outline="1" outlineData="1" multipleFieldFilters="0" chartFormat="6" rowHeaderCaption="Products">
  <location ref="A59:B68" firstHeaderRow="1" firstDataRow="1" firstDataCol="1"/>
  <pivotFields count="7">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v="5"/>
    </i>
    <i>
      <x v="4"/>
    </i>
    <i>
      <x/>
    </i>
    <i>
      <x v="3"/>
    </i>
    <i>
      <x v="7"/>
    </i>
    <i>
      <x v="2"/>
    </i>
    <i>
      <x v="1"/>
    </i>
    <i>
      <x v="6"/>
    </i>
    <i t="grand">
      <x/>
    </i>
  </rowItems>
  <colItems count="1">
    <i/>
  </colItems>
  <dataFields count="1">
    <dataField name="Total profit" fld="3" baseField="0" baseItem="0"/>
  </dataFields>
  <formats count="12">
    <format dxfId="2164">
      <pivotArea type="all" dataOnly="0" outline="0" fieldPosition="0"/>
    </format>
    <format dxfId="2165">
      <pivotArea outline="0" collapsedLevelsAreSubtotals="1" fieldPosition="0"/>
    </format>
    <format dxfId="2166">
      <pivotArea field="0" type="button" dataOnly="0" labelOnly="1" outline="0" axis="axisRow" fieldPosition="0"/>
    </format>
    <format dxfId="2167">
      <pivotArea dataOnly="0" labelOnly="1" fieldPosition="0">
        <references count="1">
          <reference field="0" count="0"/>
        </references>
      </pivotArea>
    </format>
    <format dxfId="2168">
      <pivotArea dataOnly="0" labelOnly="1" grandRow="1" outline="0" fieldPosition="0"/>
    </format>
    <format dxfId="2169">
      <pivotArea dataOnly="0" labelOnly="1" outline="0" axis="axisValues" fieldPosition="0"/>
    </format>
    <format dxfId="2170">
      <pivotArea type="all" dataOnly="0" outline="0" fieldPosition="0"/>
    </format>
    <format dxfId="2171">
      <pivotArea outline="0" collapsedLevelsAreSubtotals="1" fieldPosition="0"/>
    </format>
    <format dxfId="2172">
      <pivotArea field="0" type="button" dataOnly="0" labelOnly="1" outline="0" axis="axisRow" fieldPosition="0"/>
    </format>
    <format dxfId="2173">
      <pivotArea dataOnly="0" labelOnly="1" fieldPosition="0">
        <references count="1">
          <reference field="0" count="0"/>
        </references>
      </pivotArea>
    </format>
    <format dxfId="2174">
      <pivotArea dataOnly="0" labelOnly="1" grandRow="1" outline="0" fieldPosition="0"/>
    </format>
    <format dxfId="217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A7880C-CC57-436F-AFF8-2C47A2741941}" name="PivotTable11" cacheId="2247" applyNumberFormats="0" applyBorderFormats="0" applyFontFormats="0" applyPatternFormats="0" applyAlignmentFormats="0" applyWidthHeightFormats="1" dataCaption="Values" tag="1a4ddac3-85df-4660-bff8-b0e5f4cd66cc" updatedVersion="8" minRefreshableVersion="3" useAutoFormatting="1" subtotalHiddenItems="1" itemPrintTitles="1" createdVersion="8" indent="0" outline="1" outlineData="1" multipleFieldFilters="0" chartFormat="7" rowHeaderCaption="Salesperson">
  <location ref="A33:C40" firstHeaderRow="0" firstDataRow="1" firstDataCol="1"/>
  <pivotFields count="9">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4"/>
  </rowFields>
  <rowItems count="7">
    <i>
      <x v="1"/>
    </i>
    <i>
      <x v="3"/>
    </i>
    <i>
      <x v="4"/>
    </i>
    <i>
      <x v="5"/>
    </i>
    <i>
      <x v="2"/>
    </i>
    <i>
      <x/>
    </i>
    <i t="grand">
      <x/>
    </i>
  </rowItems>
  <colFields count="1">
    <field x="-2"/>
  </colFields>
  <colItems count="2">
    <i>
      <x/>
    </i>
    <i i="1">
      <x v="1"/>
    </i>
  </colItems>
  <dataFields count="2">
    <dataField name="Total Sales" fld="1" baseField="0" baseItem="0"/>
    <dataField name="Sum of Profit" fld="5" baseField="0" baseItem="0"/>
  </dataFields>
  <formats count="12">
    <format dxfId="2188">
      <pivotArea type="all" dataOnly="0" outline="0" fieldPosition="0"/>
    </format>
    <format dxfId="2189">
      <pivotArea outline="0" collapsedLevelsAreSubtotals="1" fieldPosition="0"/>
    </format>
    <format dxfId="2190">
      <pivotArea field="4" type="button" dataOnly="0" labelOnly="1" outline="0" axis="axisRow" fieldPosition="0"/>
    </format>
    <format dxfId="2191">
      <pivotArea dataOnly="0" labelOnly="1" fieldPosition="0">
        <references count="1">
          <reference field="4" count="0"/>
        </references>
      </pivotArea>
    </format>
    <format dxfId="2192">
      <pivotArea dataOnly="0" labelOnly="1" grandRow="1" outline="0" fieldPosition="0"/>
    </format>
    <format dxfId="2193">
      <pivotArea dataOnly="0" labelOnly="1" outline="0" fieldPosition="0">
        <references count="1">
          <reference field="4294967294" count="2">
            <x v="0"/>
            <x v="1"/>
          </reference>
        </references>
      </pivotArea>
    </format>
    <format dxfId="2194">
      <pivotArea type="all" dataOnly="0" outline="0" fieldPosition="0"/>
    </format>
    <format dxfId="2195">
      <pivotArea outline="0" collapsedLevelsAreSubtotals="1" fieldPosition="0"/>
    </format>
    <format dxfId="2196">
      <pivotArea field="4" type="button" dataOnly="0" labelOnly="1" outline="0" axis="axisRow" fieldPosition="0"/>
    </format>
    <format dxfId="2197">
      <pivotArea dataOnly="0" labelOnly="1" fieldPosition="0">
        <references count="1">
          <reference field="4" count="0"/>
        </references>
      </pivotArea>
    </format>
    <format dxfId="2198">
      <pivotArea dataOnly="0" labelOnly="1" grandRow="1" outline="0" fieldPosition="0"/>
    </format>
    <format dxfId="2199">
      <pivotArea dataOnly="0" labelOnly="1" outline="0" fieldPosition="0">
        <references count="1">
          <reference field="4294967294" count="2">
            <x v="0"/>
            <x v="1"/>
          </reference>
        </references>
      </pivotArea>
    </format>
  </formats>
  <chartFormats count="3">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20">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588EB8-766B-4587-9A27-9578B1A204D0}" name="PivotTable15" cacheId="2259" applyNumberFormats="0" applyBorderFormats="0" applyFontFormats="0" applyPatternFormats="0" applyAlignmentFormats="0" applyWidthHeightFormats="1" dataCaption="Values" tag="36fb3bcb-8266-46b0-a6fe-161976fde48a" updatedVersion="8" minRefreshableVersion="3" useAutoFormatting="1" subtotalHiddenItems="1" itemPrintTitles="1" createdVersion="8" indent="0" outline="1" outlineData="1" multipleFieldFilters="0" chartFormat="11" rowHeaderCaption="Months">
  <location ref="A82:B105"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items count="2">
        <item c="1" x="0" d="1"/>
        <item c="1" x="1" d="1"/>
      </items>
    </pivotField>
    <pivotField axis="axisRow" subtotalTop="0" showAll="0" sortType="ascending" defaultSubtotal="0">
      <items count="20">
        <item c="1" x="11"/>
        <item c="1" x="0"/>
        <item c="1" x="12"/>
        <item c="1" x="1"/>
        <item c="1" x="13"/>
        <item c="1" x="2"/>
        <item c="1" x="14"/>
        <item c="1" x="3"/>
        <item c="1" x="15"/>
        <item c="1" x="4"/>
        <item c="1" x="16"/>
        <item c="1" x="5"/>
        <item c="1" x="17"/>
        <item c="1" x="6"/>
        <item c="1" x="18"/>
        <item c="1" x="7"/>
        <item c="1" x="19"/>
        <item c="1" x="8"/>
        <item c="1" x="9"/>
        <item c="1" x="10"/>
      </items>
    </pivotField>
    <pivotField axis="axisRow" subtotalTop="0" showAll="0" dataSourceSort="1" defaultSubtotal="0"/>
    <pivotField dataField="1" subtotalTop="0" showAll="0" defaultSubtotal="0"/>
  </pivotFields>
  <rowFields count="2">
    <field x="2"/>
    <field x="3"/>
  </rowFields>
  <rowItems count="23">
    <i>
      <x/>
    </i>
    <i r="1">
      <x v="1"/>
    </i>
    <i r="1">
      <x v="3"/>
    </i>
    <i r="1">
      <x v="5"/>
    </i>
    <i r="1">
      <x v="7"/>
    </i>
    <i r="1">
      <x v="9"/>
    </i>
    <i r="1">
      <x v="11"/>
    </i>
    <i r="1">
      <x v="13"/>
    </i>
    <i r="1">
      <x v="15"/>
    </i>
    <i r="1">
      <x v="17"/>
    </i>
    <i r="1">
      <x v="18"/>
    </i>
    <i r="1">
      <x v="19"/>
    </i>
    <i>
      <x v="1"/>
    </i>
    <i r="1">
      <x/>
    </i>
    <i r="1">
      <x v="2"/>
    </i>
    <i r="1">
      <x v="4"/>
    </i>
    <i r="1">
      <x v="6"/>
    </i>
    <i r="1">
      <x v="8"/>
    </i>
    <i r="1">
      <x v="10"/>
    </i>
    <i r="1">
      <x v="12"/>
    </i>
    <i r="1">
      <x v="14"/>
    </i>
    <i r="1">
      <x v="16"/>
    </i>
    <i t="grand">
      <x/>
    </i>
  </rowItems>
  <colItems count="1">
    <i/>
  </colItems>
  <dataFields count="1">
    <dataField name="MOM Change%" fld="5" subtotal="count" baseField="0" baseItem="0"/>
  </dataFields>
  <formats count="20">
    <format dxfId="2132">
      <pivotArea collapsedLevelsAreSubtotals="1" fieldPosition="0">
        <references count="2">
          <reference field="4294967294" count="1" selected="0">
            <x v="0"/>
          </reference>
          <reference field="2" count="0"/>
        </references>
      </pivotArea>
    </format>
    <format dxfId="2133">
      <pivotArea collapsedLevelsAreSubtotals="1" fieldPosition="0">
        <references count="2">
          <reference field="4294967294" count="1" selected="0">
            <x v="0"/>
          </reference>
          <reference field="3" count="11">
            <x v="1"/>
            <x v="3"/>
            <x v="5"/>
            <x v="7"/>
            <x v="9"/>
            <x v="11"/>
            <x v="13"/>
            <x v="15"/>
            <x v="17"/>
            <x v="18"/>
            <x v="19"/>
          </reference>
        </references>
      </pivotArea>
    </format>
    <format dxfId="2134">
      <pivotArea collapsedLevelsAreSubtotals="1" fieldPosition="0">
        <references count="2">
          <reference field="4294967294" count="1" selected="0">
            <x v="0"/>
          </reference>
          <reference field="3" count="9">
            <x v="0"/>
            <x v="2"/>
            <x v="4"/>
            <x v="6"/>
            <x v="8"/>
            <x v="10"/>
            <x v="12"/>
            <x v="14"/>
            <x v="16"/>
          </reference>
        </references>
      </pivotArea>
    </format>
    <format dxfId="2135">
      <pivotArea grandRow="1" outline="0" collapsedLevelsAreSubtotals="1" fieldPosition="0"/>
    </format>
    <format dxfId="2136">
      <pivotArea type="all" dataOnly="0" outline="0" fieldPosition="0"/>
    </format>
    <format dxfId="2137">
      <pivotArea outline="0" collapsedLevelsAreSubtotals="1" fieldPosition="0"/>
    </format>
    <format dxfId="2138">
      <pivotArea field="2" type="button" dataOnly="0" labelOnly="1" outline="0" axis="axisRow" fieldPosition="0"/>
    </format>
    <format dxfId="2139">
      <pivotArea dataOnly="0" labelOnly="1" fieldPosition="0">
        <references count="1">
          <reference field="2" count="0"/>
        </references>
      </pivotArea>
    </format>
    <format dxfId="2140">
      <pivotArea dataOnly="0" labelOnly="1" grandRow="1" outline="0" fieldPosition="0"/>
    </format>
    <format dxfId="2141">
      <pivotArea dataOnly="0" labelOnly="1" fieldPosition="0">
        <references count="1">
          <reference field="3" count="11">
            <x v="1"/>
            <x v="3"/>
            <x v="5"/>
            <x v="7"/>
            <x v="9"/>
            <x v="11"/>
            <x v="13"/>
            <x v="15"/>
            <x v="17"/>
            <x v="18"/>
            <x v="19"/>
          </reference>
        </references>
      </pivotArea>
    </format>
    <format dxfId="2142">
      <pivotArea dataOnly="0" labelOnly="1" fieldPosition="0">
        <references count="1">
          <reference field="3" count="9">
            <x v="0"/>
            <x v="2"/>
            <x v="4"/>
            <x v="6"/>
            <x v="8"/>
            <x v="10"/>
            <x v="12"/>
            <x v="14"/>
            <x v="16"/>
          </reference>
        </references>
      </pivotArea>
    </format>
    <format dxfId="2143">
      <pivotArea dataOnly="0" labelOnly="1" outline="0" axis="axisValues" fieldPosition="0"/>
    </format>
    <format dxfId="2144">
      <pivotArea type="all" dataOnly="0" outline="0" fieldPosition="0"/>
    </format>
    <format dxfId="2145">
      <pivotArea outline="0" collapsedLevelsAreSubtotals="1" fieldPosition="0"/>
    </format>
    <format dxfId="2146">
      <pivotArea field="2" type="button" dataOnly="0" labelOnly="1" outline="0" axis="axisRow" fieldPosition="0"/>
    </format>
    <format dxfId="2147">
      <pivotArea dataOnly="0" labelOnly="1" fieldPosition="0">
        <references count="1">
          <reference field="2" count="0"/>
        </references>
      </pivotArea>
    </format>
    <format dxfId="2148">
      <pivotArea dataOnly="0" labelOnly="1" grandRow="1" outline="0" fieldPosition="0"/>
    </format>
    <format dxfId="2149">
      <pivotArea dataOnly="0" labelOnly="1" fieldPosition="0">
        <references count="1">
          <reference field="3" count="11">
            <x v="1"/>
            <x v="3"/>
            <x v="5"/>
            <x v="7"/>
            <x v="9"/>
            <x v="11"/>
            <x v="13"/>
            <x v="15"/>
            <x v="17"/>
            <x v="18"/>
            <x v="19"/>
          </reference>
        </references>
      </pivotArea>
    </format>
    <format dxfId="2150">
      <pivotArea dataOnly="0" labelOnly="1" fieldPosition="0">
        <references count="1">
          <reference field="3" count="9">
            <x v="0"/>
            <x v="2"/>
            <x v="4"/>
            <x v="6"/>
            <x v="8"/>
            <x v="10"/>
            <x v="12"/>
            <x v="14"/>
            <x v="16"/>
          </reference>
        </references>
      </pivotArea>
    </format>
    <format dxfId="2151">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MOM Ch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78F27-CEE4-4962-8001-592FF9CA3F3A}" name="PivotTable8" cacheId="2235" applyNumberFormats="0" applyBorderFormats="0" applyFontFormats="0" applyPatternFormats="0" applyAlignmentFormats="0" applyWidthHeightFormats="1" dataCaption="Values" tag="9d682cc1-8d4c-4a83-a2b6-1b8f42baea1b" updatedVersion="8" minRefreshableVersion="3" useAutoFormatting="1" subtotalHiddenItems="1" itemPrintTitles="1" createdVersion="8" indent="0" outline="1" outlineData="1" multipleFieldFilters="0" chartFormat="11" rowHeaderCaption="Products">
  <location ref="A3:B12" firstHeaderRow="1"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v="5"/>
    </i>
    <i>
      <x/>
    </i>
    <i>
      <x v="3"/>
    </i>
    <i>
      <x v="4"/>
    </i>
    <i>
      <x v="2"/>
    </i>
    <i>
      <x v="1"/>
    </i>
    <i>
      <x v="7"/>
    </i>
    <i>
      <x v="6"/>
    </i>
    <i t="grand">
      <x/>
    </i>
  </rowItems>
  <colItems count="1">
    <i/>
  </colItems>
  <dataFields count="1">
    <dataField name="Total Sales" fld="1" baseField="0" baseItem="0"/>
  </dataFields>
  <formats count="12">
    <format dxfId="2258">
      <pivotArea type="all" dataOnly="0" outline="0" fieldPosition="0"/>
    </format>
    <format dxfId="2259">
      <pivotArea outline="0" collapsedLevelsAreSubtotals="1" fieldPosition="0"/>
    </format>
    <format dxfId="2260">
      <pivotArea field="0" type="button" dataOnly="0" labelOnly="1" outline="0" axis="axisRow" fieldPosition="0"/>
    </format>
    <format dxfId="2261">
      <pivotArea dataOnly="0" labelOnly="1" fieldPosition="0">
        <references count="1">
          <reference field="0" count="0"/>
        </references>
      </pivotArea>
    </format>
    <format dxfId="2262">
      <pivotArea dataOnly="0" labelOnly="1" grandRow="1" outline="0" fieldPosition="0"/>
    </format>
    <format dxfId="2263">
      <pivotArea dataOnly="0" labelOnly="1" outline="0" axis="axisValues" fieldPosition="0"/>
    </format>
    <format dxfId="2264">
      <pivotArea type="all" dataOnly="0" outline="0" fieldPosition="0"/>
    </format>
    <format dxfId="2265">
      <pivotArea outline="0" collapsedLevelsAreSubtotals="1" fieldPosition="0"/>
    </format>
    <format dxfId="2266">
      <pivotArea field="0" type="button" dataOnly="0" labelOnly="1" outline="0" axis="axisRow" fieldPosition="0"/>
    </format>
    <format dxfId="2267">
      <pivotArea dataOnly="0" labelOnly="1" fieldPosition="0">
        <references count="1">
          <reference field="0" count="0"/>
        </references>
      </pivotArea>
    </format>
    <format dxfId="2268">
      <pivotArea dataOnly="0" labelOnly="1" grandRow="1" outline="0" fieldPosition="0"/>
    </format>
    <format dxfId="226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F5A294-E804-4F40-9D67-97DEC5E7E849}" name="PivotTable9" cacheId="2268" applyNumberFormats="0" applyBorderFormats="0" applyFontFormats="0" applyPatternFormats="0" applyAlignmentFormats="0" applyWidthHeightFormats="1" dataCaption="Values" tag="41cddc27-9337-4cef-a942-c6e9f094f337" updatedVersion="8" minRefreshableVersion="3" useAutoFormatting="1" subtotalHiddenItems="1" itemPrintTitles="1" createdVersion="8" indent="0" outline="1" outlineData="1" multipleFieldFilters="0" chartFormat="10" rowHeaderCaption="Region">
  <location ref="A15:C20" firstHeaderRow="0" firstDataRow="1" firstDataCol="1"/>
  <pivotFields count="7">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5">
    <i>
      <x/>
    </i>
    <i>
      <x v="3"/>
    </i>
    <i>
      <x v="2"/>
    </i>
    <i>
      <x v="1"/>
    </i>
    <i t="grand">
      <x/>
    </i>
  </rowItems>
  <colFields count="1">
    <field x="-2"/>
  </colFields>
  <colItems count="2">
    <i>
      <x/>
    </i>
    <i i="1">
      <x v="1"/>
    </i>
  </colItems>
  <dataFields count="2">
    <dataField name="Total Sales" fld="1" baseField="0" baseItem="0"/>
    <dataField name="Total Profit" fld="3" baseField="0" baseItem="0"/>
  </dataFields>
  <formats count="12">
    <format dxfId="2094">
      <pivotArea type="all" dataOnly="0" outline="0" fieldPosition="0"/>
    </format>
    <format dxfId="2095">
      <pivotArea outline="0" collapsedLevelsAreSubtotals="1" fieldPosition="0"/>
    </format>
    <format dxfId="2096">
      <pivotArea field="2" type="button" dataOnly="0" labelOnly="1" outline="0" axis="axisRow" fieldPosition="0"/>
    </format>
    <format dxfId="2097">
      <pivotArea dataOnly="0" labelOnly="1" fieldPosition="0">
        <references count="1">
          <reference field="2" count="0"/>
        </references>
      </pivotArea>
    </format>
    <format dxfId="2098">
      <pivotArea dataOnly="0" labelOnly="1" grandRow="1" outline="0" fieldPosition="0"/>
    </format>
    <format dxfId="2099">
      <pivotArea dataOnly="0" labelOnly="1" outline="0" fieldPosition="0">
        <references count="1">
          <reference field="4294967294" count="2">
            <x v="0"/>
            <x v="1"/>
          </reference>
        </references>
      </pivotArea>
    </format>
    <format dxfId="2100">
      <pivotArea type="all" dataOnly="0" outline="0" fieldPosition="0"/>
    </format>
    <format dxfId="2101">
      <pivotArea outline="0" collapsedLevelsAreSubtotals="1" fieldPosition="0"/>
    </format>
    <format dxfId="2102">
      <pivotArea field="2" type="button" dataOnly="0" labelOnly="1" outline="0" axis="axisRow" fieldPosition="0"/>
    </format>
    <format dxfId="2103">
      <pivotArea dataOnly="0" labelOnly="1" fieldPosition="0">
        <references count="1">
          <reference field="2" count="0"/>
        </references>
      </pivotArea>
    </format>
    <format dxfId="2104">
      <pivotArea dataOnly="0" labelOnly="1" grandRow="1" outline="0" fieldPosition="0"/>
    </format>
    <format dxfId="2105">
      <pivotArea dataOnly="0" labelOnly="1" outline="0" fieldPosition="0">
        <references count="1">
          <reference field="4294967294" count="2">
            <x v="0"/>
            <x v="1"/>
          </reference>
        </references>
      </pivotArea>
    </format>
  </formats>
  <chartFormats count="5">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2" count="1" selected="0">
            <x v="0"/>
          </reference>
        </references>
      </pivotArea>
    </chartFormat>
    <chartFormat chart="5" format="7">
      <pivotArea type="data" outline="0" fieldPosition="0">
        <references count="2">
          <reference field="4294967294" count="1" selected="0">
            <x v="1"/>
          </reference>
          <reference field="2" count="1" selected="0">
            <x v="2"/>
          </reference>
        </references>
      </pivotArea>
    </chartFormat>
    <chartFormat chart="5" format="8">
      <pivotArea type="data" outline="0" fieldPosition="0">
        <references count="2">
          <reference field="4294967294" count="1" selected="0">
            <x v="1"/>
          </reference>
          <reference field="2" count="1" selected="0">
            <x v="3"/>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7C7C48-39E4-4994-A75D-06E2335CC73C}" name="PivotTable10" cacheId="2244" applyNumberFormats="0" applyBorderFormats="0" applyFontFormats="0" applyPatternFormats="0" applyAlignmentFormats="0" applyWidthHeightFormats="1" dataCaption="Values" tag="31f249f0-b74d-4705-bc5d-af5bdae4a46d" updatedVersion="8" minRefreshableVersion="3" useAutoFormatting="1" subtotalHiddenItems="1" itemPrintTitles="1" createdVersion="8" indent="0" outline="1" outlineData="1" multipleFieldFilters="0" chartFormat="12" rowHeaderCaption="Customers">
  <location ref="A24:B30" firstHeaderRow="1" firstDataRow="1" firstDataCol="1"/>
  <pivotFields count="7">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6">
    <i>
      <x v="4"/>
    </i>
    <i>
      <x v="1"/>
    </i>
    <i>
      <x v="2"/>
    </i>
    <i>
      <x v="3"/>
    </i>
    <i>
      <x/>
    </i>
    <i t="grand">
      <x/>
    </i>
  </rowItems>
  <colItems count="1">
    <i/>
  </colItems>
  <dataFields count="1">
    <dataField name="Total Sales" fld="1" baseField="0" baseItem="0"/>
  </dataFields>
  <formats count="12">
    <format dxfId="2200">
      <pivotArea type="all" dataOnly="0" outline="0" fieldPosition="0"/>
    </format>
    <format dxfId="2201">
      <pivotArea outline="0" collapsedLevelsAreSubtotals="1" fieldPosition="0"/>
    </format>
    <format dxfId="2202">
      <pivotArea field="3" type="button" dataOnly="0" labelOnly="1" outline="0" axis="axisRow" fieldPosition="0"/>
    </format>
    <format dxfId="2203">
      <pivotArea dataOnly="0" labelOnly="1" fieldPosition="0">
        <references count="1">
          <reference field="3" count="5">
            <x v="0"/>
            <x v="1"/>
            <x v="2"/>
            <x v="3"/>
            <x v="4"/>
          </reference>
        </references>
      </pivotArea>
    </format>
    <format dxfId="2204">
      <pivotArea dataOnly="0" labelOnly="1" grandRow="1" outline="0" fieldPosition="0"/>
    </format>
    <format dxfId="2205">
      <pivotArea dataOnly="0" labelOnly="1" outline="0" axis="axisValues" fieldPosition="0"/>
    </format>
    <format dxfId="2206">
      <pivotArea type="all" dataOnly="0" outline="0" fieldPosition="0"/>
    </format>
    <format dxfId="2207">
      <pivotArea outline="0" collapsedLevelsAreSubtotals="1" fieldPosition="0"/>
    </format>
    <format dxfId="2208">
      <pivotArea field="3" type="button" dataOnly="0" labelOnly="1" outline="0" axis="axisRow" fieldPosition="0"/>
    </format>
    <format dxfId="2209">
      <pivotArea dataOnly="0" labelOnly="1" fieldPosition="0">
        <references count="1">
          <reference field="3" count="5">
            <x v="0"/>
            <x v="1"/>
            <x v="2"/>
            <x v="3"/>
            <x v="4"/>
          </reference>
        </references>
      </pivotArea>
    </format>
    <format dxfId="2210">
      <pivotArea dataOnly="0" labelOnly="1" grandRow="1" outline="0" fieldPosition="0"/>
    </format>
    <format dxfId="2211">
      <pivotArea dataOnly="0" labelOnly="1" outline="0" axis="axisValues" fieldPosition="0"/>
    </format>
  </formats>
  <chartFormats count="9">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 chart="7" format="17">
      <pivotArea type="data" outline="0" fieldPosition="0">
        <references count="2">
          <reference field="4294967294" count="1" selected="0">
            <x v="0"/>
          </reference>
          <reference field="3" count="1" selected="0">
            <x v="4"/>
          </reference>
        </references>
      </pivotArea>
    </chartFormat>
    <chartFormat chart="7" format="18">
      <pivotArea type="data" outline="0" fieldPosition="0">
        <references count="2">
          <reference field="4294967294" count="1" selected="0">
            <x v="0"/>
          </reference>
          <reference field="3" count="1" selected="0">
            <x v="5"/>
          </reference>
        </references>
      </pivotArea>
    </chartFormat>
    <chartFormat chart="7" format="19">
      <pivotArea type="data" outline="0" fieldPosition="0">
        <references count="2">
          <reference field="4294967294" count="1" selected="0">
            <x v="0"/>
          </reference>
          <reference field="3" count="1" selected="0">
            <x v="6"/>
          </reference>
        </references>
      </pivotArea>
    </chartFormat>
    <chartFormat chart="7" format="20">
      <pivotArea type="data" outline="0" fieldPosition="0">
        <references count="2">
          <reference field="4294967294" count="1" selected="0">
            <x v="0"/>
          </reference>
          <reference field="3" count="1" selected="0">
            <x v="7"/>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2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794E36-5701-4BAE-A98C-74EBCA528441}" name="PivotTable16" cacheId="2262" applyNumberFormats="0" applyBorderFormats="0" applyFontFormats="0" applyPatternFormats="0" applyAlignmentFormats="0" applyWidthHeightFormats="1" dataCaption="Values" tag="d40f2628-427f-4e31-bfb1-85b25561383a" updatedVersion="8" minRefreshableVersion="3" useAutoFormatting="1" subtotalHiddenItems="1" itemPrintTitles="1" createdVersion="8" indent="0" outline="1" outlineData="1" multipleFieldFilters="0" chartFormat="9" rowHeaderCaption="Products">
  <location ref="A111:B120"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9">
    <i>
      <x v="6"/>
    </i>
    <i>
      <x v="2"/>
    </i>
    <i>
      <x v="3"/>
    </i>
    <i>
      <x v="4"/>
    </i>
    <i>
      <x v="5"/>
    </i>
    <i>
      <x/>
    </i>
    <i>
      <x v="1"/>
    </i>
    <i>
      <x v="7"/>
    </i>
    <i t="grand">
      <x/>
    </i>
  </rowItems>
  <colItems count="1">
    <i/>
  </colItems>
  <dataFields count="1">
    <dataField name="Average Discount %" fld="3" subtotal="average" baseField="2" baseItem="0"/>
  </dataFields>
  <formats count="14">
    <format dxfId="2118">
      <pivotArea collapsedLevelsAreSubtotals="1" fieldPosition="0">
        <references count="1">
          <reference field="2" count="0"/>
        </references>
      </pivotArea>
    </format>
    <format dxfId="2119">
      <pivotArea grandRow="1" outline="0" collapsedLevelsAreSubtotals="1" fieldPosition="0"/>
    </format>
    <format dxfId="2120">
      <pivotArea type="all" dataOnly="0" outline="0" fieldPosition="0"/>
    </format>
    <format dxfId="2121">
      <pivotArea outline="0" collapsedLevelsAreSubtotals="1" fieldPosition="0"/>
    </format>
    <format dxfId="2122">
      <pivotArea field="2" type="button" dataOnly="0" labelOnly="1" outline="0" axis="axisRow" fieldPosition="0"/>
    </format>
    <format dxfId="2123">
      <pivotArea dataOnly="0" labelOnly="1" fieldPosition="0">
        <references count="1">
          <reference field="2" count="0"/>
        </references>
      </pivotArea>
    </format>
    <format dxfId="2124">
      <pivotArea dataOnly="0" labelOnly="1" grandRow="1" outline="0" fieldPosition="0"/>
    </format>
    <format dxfId="2125">
      <pivotArea dataOnly="0" labelOnly="1" outline="0" axis="axisValues" fieldPosition="0"/>
    </format>
    <format dxfId="2126">
      <pivotArea type="all" dataOnly="0" outline="0" fieldPosition="0"/>
    </format>
    <format dxfId="2127">
      <pivotArea outline="0" collapsedLevelsAreSubtotals="1" fieldPosition="0"/>
    </format>
    <format dxfId="2128">
      <pivotArea field="2" type="button" dataOnly="0" labelOnly="1" outline="0" axis="axisRow" fieldPosition="0"/>
    </format>
    <format dxfId="2129">
      <pivotArea dataOnly="0" labelOnly="1" fieldPosition="0">
        <references count="1">
          <reference field="2" count="0"/>
        </references>
      </pivotArea>
    </format>
    <format dxfId="2130">
      <pivotArea dataOnly="0" labelOnly="1" grandRow="1" outline="0" fieldPosition="0"/>
    </format>
    <format dxfId="2131">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7"/>
          </reference>
        </references>
      </pivotArea>
    </chartFormat>
    <chartFormat chart="3" format="3">
      <pivotArea type="data" outline="0" fieldPosition="0">
        <references count="2">
          <reference field="4294967294" count="1" selected="0">
            <x v="0"/>
          </reference>
          <reference field="2" count="1" selected="0">
            <x v="6"/>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Discoun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33A0D-8059-4843-A2F1-8AB8BEC34C11}" name="PivotTable12" cacheId="2250" applyNumberFormats="0" applyBorderFormats="0" applyFontFormats="0" applyPatternFormats="0" applyAlignmentFormats="0" applyWidthHeightFormats="1" dataCaption="Values" tag="56accdc8-26cf-4234-88cc-31690ca00999" updatedVersion="8" minRefreshableVersion="3" useAutoFormatting="1" subtotalHiddenItems="1" itemPrintTitles="1" createdVersion="8" indent="0" outline="1" outlineData="1" multipleFieldFilters="0" chartFormat="7" rowHeaderCaption="Months">
  <location ref="A43:B56" firstHeaderRow="1" firstDataRow="1" firstDataCol="1"/>
  <pivotFields count="9">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pivotField subtotalTop="0" showAll="0" dataSourceSort="1" defaultSubtotal="0"/>
    <pivotField subtotalTop="0" showAll="0" dataSourceSort="1" defaultSubtotal="0"/>
  </pivotFields>
  <rowFields count="1">
    <field x="5"/>
  </rowFields>
  <rowItems count="13">
    <i>
      <x/>
    </i>
    <i>
      <x v="1"/>
    </i>
    <i>
      <x v="2"/>
    </i>
    <i>
      <x v="3"/>
    </i>
    <i>
      <x v="4"/>
    </i>
    <i>
      <x v="5"/>
    </i>
    <i>
      <x v="6"/>
    </i>
    <i>
      <x v="7"/>
    </i>
    <i>
      <x v="8"/>
    </i>
    <i>
      <x v="9"/>
    </i>
    <i>
      <x v="10"/>
    </i>
    <i>
      <x v="11"/>
    </i>
    <i t="grand">
      <x/>
    </i>
  </rowItems>
  <colItems count="1">
    <i/>
  </colItems>
  <dataFields count="1">
    <dataField name="Total Sales" fld="1" baseField="0" baseItem="0"/>
  </dataFields>
  <formats count="12">
    <format dxfId="2176">
      <pivotArea type="all" dataOnly="0" outline="0" fieldPosition="0"/>
    </format>
    <format dxfId="2177">
      <pivotArea outline="0" collapsedLevelsAreSubtotals="1" fieldPosition="0"/>
    </format>
    <format dxfId="2178">
      <pivotArea field="5" type="button" dataOnly="0" labelOnly="1" outline="0" axis="axisRow" fieldPosition="0"/>
    </format>
    <format dxfId="2179">
      <pivotArea dataOnly="0" labelOnly="1" fieldPosition="0">
        <references count="1">
          <reference field="5" count="0"/>
        </references>
      </pivotArea>
    </format>
    <format dxfId="2180">
      <pivotArea dataOnly="0" labelOnly="1" grandRow="1" outline="0" fieldPosition="0"/>
    </format>
    <format dxfId="2181">
      <pivotArea dataOnly="0" labelOnly="1" outline="0" axis="axisValues" fieldPosition="0"/>
    </format>
    <format dxfId="2182">
      <pivotArea type="all" dataOnly="0" outline="0" fieldPosition="0"/>
    </format>
    <format dxfId="2183">
      <pivotArea outline="0" collapsedLevelsAreSubtotals="1" fieldPosition="0"/>
    </format>
    <format dxfId="2184">
      <pivotArea field="5" type="button" dataOnly="0" labelOnly="1" outline="0" axis="axisRow" fieldPosition="0"/>
    </format>
    <format dxfId="2185">
      <pivotArea dataOnly="0" labelOnly="1" fieldPosition="0">
        <references count="1">
          <reference field="5" count="0"/>
        </references>
      </pivotArea>
    </format>
    <format dxfId="2186">
      <pivotArea dataOnly="0" labelOnly="1" grandRow="1" outline="0" fieldPosition="0"/>
    </format>
    <format dxfId="2187">
      <pivotArea dataOnly="0" labelOnly="1" outline="0" axis="axisValues" fieldPosition="0"/>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9"/>
          </reference>
        </references>
      </pivotArea>
    </chartFormat>
    <chartFormat chart="3" format="5">
      <pivotArea type="data" outline="0" fieldPosition="0">
        <references count="2">
          <reference field="4294967294" count="1" selected="0">
            <x v="0"/>
          </reference>
          <reference field="5" count="1" selected="0">
            <x v="11"/>
          </reference>
        </references>
      </pivotArea>
    </chartFormat>
    <chartFormat chart="3" format="6">
      <pivotArea type="data" outline="0" fieldPosition="0">
        <references count="2">
          <reference field="4294967294" count="1" selected="0">
            <x v="0"/>
          </reference>
          <reference field="5" count="1" selected="0">
            <x v="10"/>
          </reference>
        </references>
      </pivotArea>
    </chartFormat>
    <chartFormat chart="3" format="7">
      <pivotArea type="data" outline="0" fieldPosition="0">
        <references count="2">
          <reference field="4294967294" count="1" selected="0">
            <x v="0"/>
          </reference>
          <reference field="5" count="1" selected="0">
            <x v="8"/>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7"/>
          </reference>
        </references>
      </pivotArea>
    </chartFormat>
    <chartFormat chart="3" format="10">
      <pivotArea type="data" outline="0" fieldPosition="0">
        <references count="2">
          <reference field="4294967294" count="1" selected="0">
            <x v="0"/>
          </reference>
          <reference field="5" count="1" selected="0">
            <x v="5"/>
          </reference>
        </references>
      </pivotArea>
    </chartFormat>
    <chartFormat chart="3" format="11">
      <pivotArea type="data" outline="0" fieldPosition="0">
        <references count="2">
          <reference field="4294967294" count="1" selected="0">
            <x v="0"/>
          </reference>
          <reference field="5" count="1" selected="0">
            <x v="6"/>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3" format="13">
      <pivotArea type="data" outline="0" fieldPosition="0">
        <references count="2">
          <reference field="4294967294" count="1" selected="0">
            <x v="0"/>
          </reference>
          <reference field="5" count="1" selected="0">
            <x v="3"/>
          </reference>
        </references>
      </pivotArea>
    </chartFormat>
    <chartFormat chart="3" format="14">
      <pivotArea type="data" outline="0" fieldPosition="0">
        <references count="2">
          <reference field="4294967294" count="1" selected="0">
            <x v="0"/>
          </reference>
          <reference field="5"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2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AE629E-A94D-4327-92D7-4FFED8A80611}" name="PivotTable19" cacheId="2238" applyNumberFormats="0" applyBorderFormats="0" applyFontFormats="0" applyPatternFormats="0" applyAlignmentFormats="0" applyWidthHeightFormats="1" dataCaption="Values" tag="8a52f632-2575-4358-ac4b-3a7a511f1b37" updatedVersion="8" minRefreshableVersion="3" useAutoFormatting="1" subtotalHiddenItems="1" itemPrintTitles="1" createdVersion="8" indent="0" outline="1" outlineData="1" multipleFieldFilters="0" chartFormat="4">
  <location ref="A1:I4" firstHeaderRow="0" firstDataRow="1" firstDataCol="1"/>
  <pivotFields count="1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sortType="descending" defaultSubtotal="0" defaultAttributeDrillState="1">
      <items count="2">
        <item x="1"/>
        <item x="0"/>
      </items>
    </pivotField>
    <pivotField dataField="1" subtotalTop="0" showAll="0" defaultSubtotal="0"/>
    <pivotField axis="axisRow" allDrilled="1" subtotalTop="0" showAll="0" sortType="descending" defaultSubtotal="0">
      <items count="2">
        <item c="1" x="1"/>
        <item c="1" x="0"/>
      </items>
    </pivotField>
    <pivotField axis="axisRow" subtotalTop="0" showAll="0" dataSourceSort="1" defaultSubtotal="0">
      <items count="21">
        <item c="1" x="0"/>
        <item c="1" x="1"/>
        <item c="1" x="2"/>
        <item c="1" x="3"/>
        <item c="1" x="4"/>
        <item c="1" x="5"/>
        <item c="1" x="6"/>
        <item c="1" x="7"/>
        <item c="1" x="8"/>
        <item x="9"/>
        <item x="10"/>
        <item x="11"/>
        <item x="12"/>
        <item x="13"/>
        <item x="14"/>
        <item x="15"/>
        <item x="16"/>
        <item x="17"/>
        <item x="18"/>
        <item x="19"/>
        <item x="20"/>
      </items>
    </pivotField>
    <pivotField axis="axisRow"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5"/>
  </rowFields>
  <rowItems count="3">
    <i>
      <x/>
    </i>
    <i>
      <x v="1"/>
    </i>
    <i t="grand">
      <x/>
    </i>
  </rowItems>
  <colFields count="1">
    <field x="-2"/>
  </colFields>
  <colItems count="8">
    <i>
      <x/>
    </i>
    <i i="1">
      <x v="1"/>
    </i>
    <i i="2">
      <x v="2"/>
    </i>
    <i i="3">
      <x v="3"/>
    </i>
    <i i="4">
      <x v="4"/>
    </i>
    <i i="5">
      <x v="5"/>
    </i>
    <i i="6">
      <x v="6"/>
    </i>
    <i i="7">
      <x v="7"/>
    </i>
  </colItems>
  <dataFields count="8">
    <dataField name="Sum of Sales" fld="1" baseField="0" baseItem="0"/>
    <dataField fld="4" subtotal="count" baseField="0" baseItem="0"/>
    <dataField name="Sum of Profit" fld="2" baseField="0" baseItem="0"/>
    <dataField fld="12" subtotal="count" baseField="0" baseItem="0"/>
    <dataField name="Average of Sales" fld="10" subtotal="average" baseField="0" baseItem="0" numFmtId="2"/>
    <dataField name="Average of Discount %" fld="8" subtotal="average" baseField="0" baseItem="0"/>
    <dataField name="Count of Order" fld="9" subtotal="count" baseField="0" baseItem="0"/>
    <dataField fld="11" subtotal="count" baseField="0" baseItem="0"/>
  </dataFields>
  <formats count="32">
    <format dxfId="2226">
      <pivotArea collapsedLevelsAreSubtotals="1" fieldPosition="0">
        <references count="2">
          <reference field="4294967294" count="1" selected="0">
            <x v="1"/>
          </reference>
          <reference field="5" count="0"/>
        </references>
      </pivotArea>
    </format>
    <format dxfId="2227">
      <pivotArea collapsedLevelsAreSubtotals="1" fieldPosition="0">
        <references count="2">
          <reference field="4294967294" count="1" selected="0">
            <x v="1"/>
          </reference>
          <reference field="6" count="11">
            <x v="10"/>
            <x v="11"/>
            <x v="12"/>
            <x v="13"/>
            <x v="14"/>
            <x v="15"/>
            <x v="16"/>
            <x v="17"/>
            <x v="18"/>
            <x v="19"/>
            <x v="20"/>
          </reference>
        </references>
      </pivotArea>
    </format>
    <format dxfId="2228">
      <pivotArea collapsedLevelsAreSubtotals="1" fieldPosition="0">
        <references count="2">
          <reference field="4294967294" count="1" selected="0">
            <x v="1"/>
          </reference>
          <reference field="6" count="8">
            <x v="0"/>
            <x v="1"/>
            <x v="2"/>
            <x v="3"/>
            <x v="4"/>
            <x v="5"/>
            <x v="6"/>
            <x v="7"/>
          </reference>
        </references>
      </pivotArea>
    </format>
    <format dxfId="2229">
      <pivotArea collapsedLevelsAreSubtotals="1" fieldPosition="0">
        <references count="2">
          <reference field="4294967294" count="1" selected="0">
            <x v="5"/>
          </reference>
          <reference field="5" count="0"/>
        </references>
      </pivotArea>
    </format>
    <format dxfId="2230">
      <pivotArea outline="0" collapsedLevelsAreSubtotals="1" fieldPosition="0">
        <references count="1">
          <reference field="4294967294" count="1" selected="0">
            <x v="4"/>
          </reference>
        </references>
      </pivotArea>
    </format>
    <format dxfId="2231">
      <pivotArea collapsedLevelsAreSubtotals="1" fieldPosition="0">
        <references count="2">
          <reference field="4294967294" count="1" selected="0">
            <x v="7"/>
          </reference>
          <reference field="5" count="0"/>
        </references>
      </pivotArea>
    </format>
    <format dxfId="2232">
      <pivotArea collapsedLevelsAreSubtotals="1" fieldPosition="0">
        <references count="2">
          <reference field="4294967294" count="1" selected="0">
            <x v="7"/>
          </reference>
          <reference field="6" count="8">
            <x v="0"/>
            <x v="1"/>
            <x v="2"/>
            <x v="3"/>
            <x v="4"/>
            <x v="5"/>
            <x v="6"/>
            <x v="7"/>
          </reference>
        </references>
      </pivotArea>
    </format>
    <format dxfId="2233">
      <pivotArea collapsedLevelsAreSubtotals="1" fieldPosition="0">
        <references count="2">
          <reference field="4294967294" count="1" selected="0">
            <x v="5"/>
          </reference>
          <reference field="6" count="8">
            <x v="0"/>
            <x v="1"/>
            <x v="2"/>
            <x v="3"/>
            <x v="4"/>
            <x v="5"/>
            <x v="6"/>
            <x v="7"/>
          </reference>
        </references>
      </pivotArea>
    </format>
    <format dxfId="2234">
      <pivotArea collapsedLevelsAreSubtotals="1" fieldPosition="0">
        <references count="2">
          <reference field="4294967294" count="1" selected="0">
            <x v="5"/>
          </reference>
          <reference field="6" count="11">
            <x v="9"/>
            <x v="10"/>
            <x v="11"/>
            <x v="12"/>
            <x v="13"/>
            <x v="14"/>
            <x v="15"/>
            <x v="16"/>
            <x v="17"/>
            <x v="18"/>
            <x v="19"/>
          </reference>
        </references>
      </pivotArea>
    </format>
    <format dxfId="2235">
      <pivotArea collapsedLevelsAreSubtotals="1" fieldPosition="0">
        <references count="2">
          <reference field="4294967294" count="1" selected="0">
            <x v="7"/>
          </reference>
          <reference field="6" count="11">
            <x v="10"/>
            <x v="11"/>
            <x v="12"/>
            <x v="13"/>
            <x v="14"/>
            <x v="15"/>
            <x v="16"/>
            <x v="17"/>
            <x v="18"/>
            <x v="19"/>
            <x v="20"/>
          </reference>
        </references>
      </pivotArea>
    </format>
    <format dxfId="2236">
      <pivotArea field="5" grandRow="1" outline="0" collapsedLevelsAreSubtotals="1" axis="axisRow" fieldPosition="0">
        <references count="1">
          <reference field="4294967294" count="1" selected="0">
            <x v="7"/>
          </reference>
        </references>
      </pivotArea>
    </format>
    <format dxfId="2237">
      <pivotArea field="5" grandRow="1" outline="0" collapsedLevelsAreSubtotals="1" axis="axisRow" fieldPosition="0">
        <references count="1">
          <reference field="4294967294" count="1" selected="0">
            <x v="5"/>
          </reference>
        </references>
      </pivotArea>
    </format>
    <format dxfId="2238">
      <pivotArea type="all" dataOnly="0" outline="0" fieldPosition="0"/>
    </format>
    <format dxfId="2239">
      <pivotArea outline="0" collapsedLevelsAreSubtotals="1" fieldPosition="0"/>
    </format>
    <format dxfId="2240">
      <pivotArea field="5" type="button" dataOnly="0" labelOnly="1" outline="0" axis="axisRow" fieldPosition="0"/>
    </format>
    <format dxfId="2241">
      <pivotArea dataOnly="0" labelOnly="1" fieldPosition="0">
        <references count="1">
          <reference field="5" count="0"/>
        </references>
      </pivotArea>
    </format>
    <format dxfId="2242">
      <pivotArea dataOnly="0" labelOnly="1" grandRow="1" outline="0" fieldPosition="0"/>
    </format>
    <format dxfId="2243">
      <pivotArea dataOnly="0" labelOnly="1" outline="0" fieldPosition="0">
        <references count="1">
          <reference field="4294967294" count="7">
            <x v="0"/>
            <x v="1"/>
            <x v="2"/>
            <x v="4"/>
            <x v="5"/>
            <x v="6"/>
            <x v="7"/>
          </reference>
        </references>
      </pivotArea>
    </format>
    <format dxfId="2244">
      <pivotArea type="all" dataOnly="0" outline="0" fieldPosition="0"/>
    </format>
    <format dxfId="2245">
      <pivotArea outline="0" collapsedLevelsAreSubtotals="1" fieldPosition="0"/>
    </format>
    <format dxfId="2246">
      <pivotArea field="5" type="button" dataOnly="0" labelOnly="1" outline="0" axis="axisRow" fieldPosition="0"/>
    </format>
    <format dxfId="2247">
      <pivotArea dataOnly="0" labelOnly="1" fieldPosition="0">
        <references count="1">
          <reference field="5" count="0"/>
        </references>
      </pivotArea>
    </format>
    <format dxfId="2248">
      <pivotArea dataOnly="0" labelOnly="1" grandRow="1" outline="0" fieldPosition="0"/>
    </format>
    <format dxfId="2249">
      <pivotArea dataOnly="0" labelOnly="1" outline="0" fieldPosition="0">
        <references count="1">
          <reference field="4294967294" count="7">
            <x v="0"/>
            <x v="1"/>
            <x v="2"/>
            <x v="4"/>
            <x v="5"/>
            <x v="6"/>
            <x v="7"/>
          </reference>
        </references>
      </pivotArea>
    </format>
    <format dxfId="2250">
      <pivotArea collapsedLevelsAreSubtotals="1" fieldPosition="0">
        <references count="2">
          <reference field="4294967294" count="1" selected="0">
            <x v="1"/>
          </reference>
          <reference field="5" count="1">
            <x v="0"/>
          </reference>
        </references>
      </pivotArea>
    </format>
    <format dxfId="2251">
      <pivotArea collapsedLevelsAreSubtotals="1" fieldPosition="0">
        <references count="2">
          <reference field="4294967294" count="1" selected="0">
            <x v="1"/>
          </reference>
          <reference field="5" count="1">
            <x v="1"/>
          </reference>
        </references>
      </pivotArea>
    </format>
    <format dxfId="2252">
      <pivotArea field="5" grandRow="1" outline="0" collapsedLevelsAreSubtotals="1" axis="axisRow" fieldPosition="0">
        <references count="1">
          <reference field="4294967294" count="1" selected="0">
            <x v="1"/>
          </reference>
        </references>
      </pivotArea>
    </format>
    <format dxfId="2253">
      <pivotArea collapsedLevelsAreSubtotals="1" fieldPosition="0">
        <references count="2">
          <reference field="4294967294" count="1" selected="0">
            <x v="3"/>
          </reference>
          <reference field="5" count="1">
            <x v="0"/>
          </reference>
        </references>
      </pivotArea>
    </format>
    <format dxfId="2254">
      <pivotArea collapsedLevelsAreSubtotals="1" fieldPosition="0">
        <references count="2">
          <reference field="4294967294" count="1" selected="0">
            <x v="3"/>
          </reference>
          <reference field="5" count="1">
            <x v="0"/>
          </reference>
        </references>
      </pivotArea>
    </format>
    <format dxfId="2255">
      <pivotArea collapsedLevelsAreSubtotals="1" fieldPosition="0">
        <references count="2">
          <reference field="4294967294" count="1" selected="0">
            <x v="3"/>
          </reference>
          <reference field="5" count="1">
            <x v="1"/>
          </reference>
        </references>
      </pivotArea>
    </format>
    <format dxfId="2256">
      <pivotArea collapsedLevelsAreSubtotals="1" fieldPosition="0">
        <references count="2">
          <reference field="4294967294" count="1" selected="0">
            <x v="3"/>
          </reference>
          <reference field="5" count="1">
            <x v="0"/>
          </reference>
        </references>
      </pivotArea>
    </format>
    <format dxfId="2257">
      <pivotArea field="5" grandRow="1" outline="0" collapsedLevelsAreSubtotals="1" axis="axisRow" fieldPosition="0">
        <references count="1">
          <reference field="4294967294" count="1" selected="0">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2"/>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caption="Count of Order"/>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17D5AB-9812-431C-BAF7-B55436861F53}" name="PivotTable4" cacheId="2277" applyNumberFormats="0" applyBorderFormats="0" applyFontFormats="0" applyPatternFormats="0" applyAlignmentFormats="0" applyWidthHeightFormats="1" dataCaption="Values" errorCaption="0" showError="1" missingCaption="0" tag="e8f25164-81cd-4515-a02f-47b8b75c5069" updatedVersion="8" minRefreshableVersion="3" useAutoFormatting="1" subtotalHiddenItems="1" itemPrintTitles="1" createdVersion="8" indent="0" outline="1" outlineData="1" multipleFieldFilters="0" chartFormat="4">
  <location ref="A27:C30"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8">
        <item x="3"/>
        <item x="2"/>
        <item x="6"/>
        <item x="0"/>
        <item x="7"/>
        <item x="5"/>
        <item x="4"/>
        <item x="1"/>
      </items>
    </pivotField>
    <pivotField allDrilled="1" subtotalTop="0" showAll="0" sortType="descending" defaultSubtotal="0" defaultAttributeDrillState="1">
      <items count="2">
        <item x="1"/>
        <item x="0"/>
      </items>
    </pivotField>
    <pivotField axis="axisRow" allDrilled="1" subtotalTop="0" showAll="0" sortType="descending" defaultSubtotal="0">
      <items count="2">
        <item c="1" x="1"/>
        <item c="1" x="0"/>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s>
  <rowFields count="1">
    <field x="3"/>
  </rowFields>
  <rowItems count="3">
    <i>
      <x/>
    </i>
    <i>
      <x v="1"/>
    </i>
    <i t="grand">
      <x/>
    </i>
  </rowItems>
  <colFields count="1">
    <field x="-2"/>
  </colFields>
  <colItems count="2">
    <i>
      <x/>
    </i>
    <i i="1">
      <x v="1"/>
    </i>
  </colItems>
  <dataFields count="2">
    <dataField name="Sum of Profit" fld="6" baseField="0" baseItem="0"/>
    <dataField fld="7" subtotal="count" baseField="0" baseItem="0"/>
  </dataFields>
  <formats count="14">
    <format dxfId="2051">
      <pivotArea grandRow="1" outline="0" collapsedLevelsAreSubtotals="1" fieldPosition="0"/>
    </format>
    <format dxfId="2052">
      <pivotArea outline="0" collapsedLevelsAreSubtotals="1" fieldPosition="0"/>
    </format>
    <format dxfId="2053">
      <pivotArea type="all" dataOnly="0" outline="0" fieldPosition="0"/>
    </format>
    <format dxfId="2054">
      <pivotArea outline="0" collapsedLevelsAreSubtotals="1" fieldPosition="0"/>
    </format>
    <format dxfId="2055">
      <pivotArea field="2" type="button" dataOnly="0" labelOnly="1" outline="0"/>
    </format>
    <format dxfId="2056">
      <pivotArea dataOnly="0" labelOnly="1" grandRow="1" outline="0" fieldPosition="0"/>
    </format>
    <format dxfId="2057">
      <pivotArea dataOnly="0" labelOnly="1" outline="0" axis="axisValues" fieldPosition="0"/>
    </format>
    <format dxfId="2058">
      <pivotArea type="all" dataOnly="0" outline="0" fieldPosition="0"/>
    </format>
    <format dxfId="2059">
      <pivotArea outline="0" collapsedLevelsAreSubtotals="1" fieldPosition="0"/>
    </format>
    <format dxfId="2060">
      <pivotArea field="2" type="button" dataOnly="0" labelOnly="1" outline="0"/>
    </format>
    <format dxfId="2061">
      <pivotArea dataOnly="0" labelOnly="1" grandRow="1" outline="0" fieldPosition="0"/>
    </format>
    <format dxfId="2062">
      <pivotArea collapsedLevelsAreSubtotals="1" fieldPosition="0">
        <references count="2">
          <reference field="4294967294" count="1" selected="0">
            <x v="1"/>
          </reference>
          <reference field="3" count="1">
            <x v="0"/>
          </reference>
        </references>
      </pivotArea>
    </format>
    <format dxfId="2063">
      <pivotArea collapsedLevelsAreSubtotals="1" fieldPosition="0">
        <references count="2">
          <reference field="4294967294" count="1" selected="0">
            <x v="1"/>
          </reference>
          <reference field="3" count="1">
            <x v="1"/>
          </reference>
        </references>
      </pivotArea>
    </format>
    <format dxfId="2064">
      <pivotArea field="3" grandRow="1" outline="0" collapsedLevelsAreSubtotals="1" axis="axisRow" fieldPosition="0">
        <references count="1">
          <reference field="4294967294" count="1" selected="0">
            <x v="1"/>
          </reference>
        </references>
      </pivotArea>
    </format>
  </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caption="Average of 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F4DC07-6F71-487F-97AA-168E38176C05}" name="PivotTable21" cacheId="2241" applyNumberFormats="0" applyBorderFormats="0" applyFontFormats="0" applyPatternFormats="0" applyAlignmentFormats="0" applyWidthHeightFormats="1" dataCaption="Values" tag="c2281190-720f-44f1-83c0-2d687acdcc40" updatedVersion="8" minRefreshableVersion="3" useAutoFormatting="1" subtotalHiddenItems="1" itemPrintTitles="1" createdVersion="8" indent="0" outline="1" outlineData="1" multipleFieldFilters="0" chartFormat="5">
  <location ref="A7:C12"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3"/>
  </rowFields>
  <rowItems count="5">
    <i>
      <x/>
    </i>
    <i>
      <x v="1"/>
    </i>
    <i>
      <x v="2"/>
    </i>
    <i>
      <x v="3"/>
    </i>
    <i t="grand">
      <x/>
    </i>
  </rowItems>
  <colFields count="1">
    <field x="-2"/>
  </colFields>
  <colItems count="2">
    <i>
      <x/>
    </i>
    <i i="1">
      <x v="1"/>
    </i>
  </colItems>
  <dataFields count="2">
    <dataField name="Sum of Sales" fld="2" baseField="0" baseItem="0"/>
    <dataField name="Region wise%" fld="4" subtotal="count" baseField="0" baseItem="0"/>
  </dataFields>
  <formats count="14">
    <format dxfId="2212">
      <pivotArea collapsedLevelsAreSubtotals="1" fieldPosition="0">
        <references count="2">
          <reference field="4294967294" count="1" selected="0">
            <x v="1"/>
          </reference>
          <reference field="3" count="0"/>
        </references>
      </pivotArea>
    </format>
    <format dxfId="2213">
      <pivotArea type="all" dataOnly="0" outline="0" fieldPosition="0"/>
    </format>
    <format dxfId="2214">
      <pivotArea outline="0" collapsedLevelsAreSubtotals="1" fieldPosition="0"/>
    </format>
    <format dxfId="2215">
      <pivotArea field="3" type="button" dataOnly="0" labelOnly="1" outline="0" axis="axisRow" fieldPosition="0"/>
    </format>
    <format dxfId="2216">
      <pivotArea dataOnly="0" labelOnly="1" fieldPosition="0">
        <references count="1">
          <reference field="3" count="0"/>
        </references>
      </pivotArea>
    </format>
    <format dxfId="2217">
      <pivotArea dataOnly="0" labelOnly="1" grandRow="1" outline="0" fieldPosition="0"/>
    </format>
    <format dxfId="2218">
      <pivotArea dataOnly="0" labelOnly="1" outline="0" fieldPosition="0">
        <references count="1">
          <reference field="4294967294" count="2">
            <x v="0"/>
            <x v="1"/>
          </reference>
        </references>
      </pivotArea>
    </format>
    <format dxfId="2219">
      <pivotArea type="all" dataOnly="0" outline="0" fieldPosition="0"/>
    </format>
    <format dxfId="2220">
      <pivotArea outline="0" collapsedLevelsAreSubtotals="1" fieldPosition="0"/>
    </format>
    <format dxfId="2221">
      <pivotArea field="3" type="button" dataOnly="0" labelOnly="1" outline="0" axis="axisRow" fieldPosition="0"/>
    </format>
    <format dxfId="2222">
      <pivotArea dataOnly="0" labelOnly="1" fieldPosition="0">
        <references count="1">
          <reference field="3" count="0"/>
        </references>
      </pivotArea>
    </format>
    <format dxfId="2223">
      <pivotArea dataOnly="0" labelOnly="1" grandRow="1" outline="0" fieldPosition="0"/>
    </format>
    <format dxfId="2224">
      <pivotArea dataOnly="0" labelOnly="1" outline="0" fieldPosition="0">
        <references count="1">
          <reference field="4294967294" count="2">
            <x v="0"/>
            <x v="1"/>
          </reference>
        </references>
      </pivotArea>
    </format>
    <format dxfId="2225">
      <pivotArea field="3" grandRow="1" outline="0" collapsedLevelsAreSubtotals="1" axis="axisRow" fieldPosition="0">
        <references count="1">
          <reference field="4294967294" count="1" selected="0">
            <x v="1"/>
          </reference>
        </references>
      </pivotArea>
    </format>
  </formats>
  <chartFormats count="1">
    <chartFormat chart="3" format="4" series="1">
      <pivotArea type="data" outline="0" fieldPosition="0">
        <references count="1">
          <reference field="4294967294" count="1" selected="0">
            <x v="0"/>
          </reference>
        </references>
      </pivotArea>
    </chartFormat>
  </chart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Region wis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B4B069-476F-46AD-9194-E6771B2ACF3A}" name="PivotTable6" cacheId="2274" applyNumberFormats="0" applyBorderFormats="0" applyFontFormats="0" applyPatternFormats="0" applyAlignmentFormats="0" applyWidthHeightFormats="1" dataCaption="Values" errorCaption="o" showError="1" missingCaption="0" tag="2e740fc7-a84f-4eb1-bd0d-5f0ba01f193a" updatedVersion="8" minRefreshableVersion="3" useAutoFormatting="1" subtotalHiddenItems="1" itemPrintTitles="1" createdVersion="8" indent="0" outline="1" outlineData="1" multipleFieldFilters="0" chartFormat="4">
  <location ref="A21:C24" firstHeaderRow="0" firstDataRow="1" firstDataCol="1"/>
  <pivotFields count="8">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2">
        <item x="1"/>
        <item x="0"/>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3">
    <i>
      <x/>
    </i>
    <i>
      <x v="1"/>
    </i>
    <i t="grand">
      <x/>
    </i>
  </rowItems>
  <colFields count="1">
    <field x="-2"/>
  </colFields>
  <colItems count="2">
    <i>
      <x/>
    </i>
    <i i="1">
      <x v="1"/>
    </i>
  </colItems>
  <dataFields count="2">
    <dataField name="Sum of Sales" fld="3" baseField="2" baseItem="1048829"/>
    <dataField name="YOY%" fld="4" subtotal="count" baseField="0" baseItem="0" numFmtId="9"/>
  </dataFields>
  <formats count="16">
    <format dxfId="2065">
      <pivotArea grandRow="1" outline="0" collapsedLevelsAreSubtotals="1" fieldPosition="0"/>
    </format>
    <format dxfId="2066">
      <pivotArea outline="0" collapsedLevelsAreSubtotals="1" fieldPosition="0"/>
    </format>
    <format dxfId="2067">
      <pivotArea outline="0" fieldPosition="0">
        <references count="1">
          <reference field="4294967294" count="1">
            <x v="0"/>
          </reference>
        </references>
      </pivotArea>
    </format>
    <format dxfId="2068">
      <pivotArea outline="0" collapsedLevelsAreSubtotals="1" fieldPosition="0">
        <references count="1">
          <reference field="4294967294" count="1" selected="0">
            <x v="1"/>
          </reference>
        </references>
      </pivotArea>
    </format>
    <format dxfId="2069">
      <pivotArea type="all" dataOnly="0" outline="0" fieldPosition="0"/>
    </format>
    <format dxfId="2070">
      <pivotArea outline="0" collapsedLevelsAreSubtotals="1" fieldPosition="0"/>
    </format>
    <format dxfId="2071">
      <pivotArea field="2" type="button" dataOnly="0" labelOnly="1" outline="0" axis="axisRow" fieldPosition="0"/>
    </format>
    <format dxfId="2072">
      <pivotArea dataOnly="0" labelOnly="1" fieldPosition="0">
        <references count="1">
          <reference field="2" count="0"/>
        </references>
      </pivotArea>
    </format>
    <format dxfId="2073">
      <pivotArea dataOnly="0" labelOnly="1" grandRow="1" outline="0" fieldPosition="0"/>
    </format>
    <format dxfId="2074">
      <pivotArea dataOnly="0" labelOnly="1" outline="0" fieldPosition="0">
        <references count="1">
          <reference field="4294967294" count="2">
            <x v="0"/>
            <x v="1"/>
          </reference>
        </references>
      </pivotArea>
    </format>
    <format dxfId="2075">
      <pivotArea type="all" dataOnly="0" outline="0" fieldPosition="0"/>
    </format>
    <format dxfId="2076">
      <pivotArea outline="0" collapsedLevelsAreSubtotals="1" fieldPosition="0"/>
    </format>
    <format dxfId="2077">
      <pivotArea field="2" type="button" dataOnly="0" labelOnly="1" outline="0" axis="axisRow" fieldPosition="0"/>
    </format>
    <format dxfId="2078">
      <pivotArea dataOnly="0" labelOnly="1" fieldPosition="0">
        <references count="1">
          <reference field="2" count="0"/>
        </references>
      </pivotArea>
    </format>
    <format dxfId="2079">
      <pivotArea dataOnly="0" labelOnly="1" grandRow="1" outline="0" fieldPosition="0"/>
    </format>
    <format dxfId="2080">
      <pivotArea dataOnly="0" labelOnly="1" outline="0" fieldPosition="0">
        <references count="1">
          <reference field="4294967294" count="2">
            <x v="0"/>
            <x v="1"/>
          </reference>
        </references>
      </pivotArea>
    </format>
  </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caption="Average of Discount %"/>
    <pivotHierarchy dragToData="1"/>
    <pivotHierarchy dragToData="1"/>
    <pivotHierarchy dragToData="1" caption="Average of 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YO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FBC6557-8B0E-408A-B563-22A14A20F0D2}" name="PivotTable5" cacheId="2271" applyNumberFormats="0" applyBorderFormats="0" applyFontFormats="0" applyPatternFormats="0" applyAlignmentFormats="0" applyWidthHeightFormats="1" dataCaption="Values" errorCaption="0" showError="1" missingCaption="0" tag="4bfe241a-2ee6-434a-ad36-17bfa80cf7e2" updatedVersion="8" minRefreshableVersion="3" useAutoFormatting="1" subtotalHiddenItems="1" itemPrintTitles="1" createdVersion="8" indent="0" outline="1" outlineData="1" multipleFieldFilters="0" chartFormat="4">
  <location ref="A15:B18"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8">
        <item x="3"/>
        <item x="2"/>
        <item x="6"/>
        <item x="0"/>
        <item x="7"/>
        <item x="5"/>
        <item x="4"/>
        <item x="1"/>
      </items>
    </pivotField>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3">
    <i>
      <x/>
    </i>
    <i>
      <x v="1"/>
    </i>
    <i t="grand">
      <x/>
    </i>
  </rowItems>
  <colItems count="1">
    <i/>
  </colItems>
  <dataFields count="1">
    <dataField name="Average of Sales" fld="3" subtotal="average" baseField="0" baseItem="0"/>
  </dataFields>
  <formats count="13">
    <format dxfId="2081">
      <pivotArea grandRow="1" outline="0" collapsedLevelsAreSubtotals="1" fieldPosition="0"/>
    </format>
    <format dxfId="2082">
      <pivotArea outline="0" collapsedLevelsAreSubtotals="1" fieldPosition="0"/>
    </format>
    <format dxfId="2083">
      <pivotArea type="all" dataOnly="0" outline="0" fieldPosition="0"/>
    </format>
    <format dxfId="2084">
      <pivotArea outline="0" collapsedLevelsAreSubtotals="1" fieldPosition="0"/>
    </format>
    <format dxfId="2085">
      <pivotArea field="2" type="button" dataOnly="0" labelOnly="1" outline="0" axis="axisRow" fieldPosition="0"/>
    </format>
    <format dxfId="2086">
      <pivotArea dataOnly="0" labelOnly="1" fieldPosition="0">
        <references count="1">
          <reference field="2" count="0"/>
        </references>
      </pivotArea>
    </format>
    <format dxfId="2087">
      <pivotArea dataOnly="0" labelOnly="1" grandRow="1" outline="0" fieldPosition="0"/>
    </format>
    <format dxfId="2088">
      <pivotArea dataOnly="0" labelOnly="1" outline="0" axis="axisValues" fieldPosition="0"/>
    </format>
    <format dxfId="2089">
      <pivotArea type="all" dataOnly="0" outline="0" fieldPosition="0"/>
    </format>
    <format dxfId="2090">
      <pivotArea outline="0" collapsedLevelsAreSubtotals="1" fieldPosition="0"/>
    </format>
    <format dxfId="2091">
      <pivotArea field="2" type="button" dataOnly="0" labelOnly="1" outline="0" axis="axisRow" fieldPosition="0"/>
    </format>
    <format dxfId="2092">
      <pivotArea dataOnly="0" labelOnly="1" fieldPosition="0">
        <references count="1">
          <reference field="2" count="0"/>
        </references>
      </pivotArea>
    </format>
    <format dxfId="2093">
      <pivotArea dataOnly="0" labelOnly="1" grandRow="1" outline="0" fieldPosition="0"/>
    </format>
  </formats>
  <pivotHierarchies count="39">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caption="Average of 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71EA250E-5486-4C7C-A19A-390DEFB3F873}" sourceName="[Calendar].[Date Hierarchy]">
  <pivotTables>
    <pivotTable tabId="9" name="PivotTable8"/>
    <pivotTable tabId="6" name="PivotTable19"/>
    <pivotTable tabId="6" name="PivotTable2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9"/>
    <pivotTable tabId="6" name="PivotTable5"/>
    <pivotTable tabId="6" name="PivotTable6"/>
    <pivotTable tabId="6" name="PivotTable4"/>
  </pivotTables>
  <data>
    <olap pivotCacheId="1257224501">
      <levels count="4">
        <level uniqueName="[Calendar].[Date Hierarchy].[(All)]" sourceCaption="(All)" count="0"/>
        <level uniqueName="[Calendar].[Date Hierarchy].[Year]" sourceCaption="Year" count="2" sortOrder="descending">
          <ranges>
            <range startItem="0">
              <i n="[Calendar].[Date Hierarchy].[Year].&amp;[2025]" c="2025"/>
              <i n="[Calendar].[Date Hierarchy].[Year].&amp;[2024]" c="2024"/>
            </range>
          </ranges>
        </level>
        <level uniqueName="[Calendar].[Date Hierarchy].[Month]" sourceCaption="Month" count="24">
          <ranges>
            <range startItem="0">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i n="[Calendar].[Date Hierarchy].[Year].&amp;[2025].&amp;[January]" c="January">
                <p n="[Calendar].[Date Hierarchy].[Year].&amp;[2025]"/>
              </i>
              <i n="[Calendar].[Date Hierarchy].[Year].&amp;[2025].&amp;[February]" c="February">
                <p n="[Calendar].[Date Hierarchy].[Year].&amp;[2025]"/>
              </i>
              <i n="[Calendar].[Date Hierarchy].[Year].&amp;[2025].&amp;[March]" c="March">
                <p n="[Calendar].[Date Hierarchy].[Year].&amp;[2025]"/>
              </i>
              <i n="[Calendar].[Date Hierarchy].[Year].&amp;[2025].&amp;[April]" c="April">
                <p n="[Calendar].[Date Hierarchy].[Year].&amp;[2025]"/>
              </i>
              <i n="[Calendar].[Date Hierarchy].[Year].&amp;[2025].&amp;[May]" c="May">
                <p n="[Calendar].[Date Hierarchy].[Year].&amp;[2025]"/>
              </i>
              <i n="[Calendar].[Date Hierarchy].[Year].&amp;[2025].&amp;[June]" c="June">
                <p n="[Calendar].[Date Hierarchy].[Year].&amp;[2025]"/>
              </i>
              <i n="[Calendar].[Date Hierarchy].[Year].&amp;[2025].&amp;[July]" c="July">
                <p n="[Calendar].[Date Hierarchy].[Year].&amp;[2025]"/>
              </i>
              <i n="[Calendar].[Date Hierarchy].[Year].&amp;[2025].&amp;[August]" c="August">
                <p n="[Calendar].[Date Hierarchy].[Year].&amp;[2025]"/>
              </i>
              <i n="[Calendar].[Date Hierarchy].[Year].&amp;[2025].&amp;[September]" c="September">
                <p n="[Calendar].[Date Hierarchy].[Year].&amp;[2025]"/>
              </i>
              <i n="[Calendar].[Date Hierarchy].[Year].&amp;[2025].&amp;[October]" c="October">
                <p n="[Calendar].[Date Hierarchy].[Year].&amp;[2025]"/>
              </i>
              <i n="[Calendar].[Date Hierarchy].[Year].&amp;[2025].&amp;[November]" c="November">
                <p n="[Calendar].[Date Hierarchy].[Year].&amp;[2025]"/>
              </i>
              <i n="[Calendar].[Date Hierarchy].[Year].&amp;[2025].&amp;[December]" c="December">
                <p n="[Calendar].[Date Hierarchy].[Year].&amp;[2025]"/>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E7DCED-BE82-4C28-B601-CC31082901A4}" sourceName="[sales_data].[Region]">
  <pivotTables>
    <pivotTable tabId="9" name="PivotTable12"/>
    <pivotTable tabId="6" name="PivotTable19"/>
    <pivotTable tabId="6" name="PivotTable21"/>
    <pivotTable tabId="9" name="PivotTable10"/>
    <pivotTable tabId="9" name="PivotTable11"/>
    <pivotTable tabId="9" name="PivotTable13"/>
    <pivotTable tabId="9" name="PivotTable14"/>
    <pivotTable tabId="9" name="PivotTable15"/>
    <pivotTable tabId="9" name="PivotTable16"/>
    <pivotTable tabId="9" name="PivotTable17"/>
    <pivotTable tabId="9" name="PivotTable8"/>
    <pivotTable tabId="9" name="PivotTable9"/>
    <pivotTable tabId="6" name="PivotTable5"/>
    <pivotTable tabId="6" name="PivotTable6"/>
    <pivotTable tabId="6" name="PivotTable4"/>
  </pivotTables>
  <data>
    <olap pivotCacheId="1257224501">
      <levels count="2">
        <level uniqueName="[sales_data].[Region].[(All)]" sourceCaption="(All)" count="0"/>
        <level uniqueName="[sales_data].[Region].[Region]" sourceCaption="Region" count="4">
          <ranges>
            <range startItem="0">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3FDB43F-44C3-48C3-B1B5-DDB0A086C7EE}" sourceName="[sales_data].[Product]">
  <pivotTables>
    <pivotTable tabId="9" name="PivotTable12"/>
    <pivotTable tabId="6" name="PivotTable19"/>
    <pivotTable tabId="6" name="PivotTable21"/>
    <pivotTable tabId="9" name="PivotTable10"/>
    <pivotTable tabId="9" name="PivotTable11"/>
    <pivotTable tabId="9" name="PivotTable13"/>
    <pivotTable tabId="9" name="PivotTable14"/>
    <pivotTable tabId="9" name="PivotTable15"/>
    <pivotTable tabId="9" name="PivotTable16"/>
    <pivotTable tabId="9" name="PivotTable17"/>
    <pivotTable tabId="9" name="PivotTable8"/>
    <pivotTable tabId="9" name="PivotTable9"/>
    <pivotTable tabId="6" name="PivotTable5"/>
    <pivotTable tabId="6" name="PivotTable6"/>
    <pivotTable tabId="6" name="PivotTable4"/>
  </pivotTables>
  <data>
    <olap pivotCacheId="1257224501">
      <levels count="2">
        <level uniqueName="[sales_data].[Product].[(All)]" sourceCaption="(All)" count="0"/>
        <level uniqueName="[sales_data].[Product].[Product]" sourceCaption="Product" count="8">
          <ranges>
            <range startItem="0">
              <i n="[sales_data].[Product].&amp;[Headphones]" c="Headphones"/>
              <i n="[sales_data].[Product].&amp;[Keyboard]" c="Keyboard"/>
              <i n="[sales_data].[Product].&amp;[Laptop]" c="Laptop"/>
              <i n="[sales_data].[Product].&amp;[Monitor]" c="Monitor"/>
              <i n="[sales_data].[Product].&amp;[Mouse]" c="Mouse"/>
              <i n="[sales_data].[Product].&amp;[Printer]" c="Printer"/>
              <i n="[sales_data].[Product].&amp;[Smartphone]" c="Smartphone"/>
              <i n="[sales_data].[Product].&amp;[Tablet]" c="Tablet"/>
            </range>
          </ranges>
        </level>
      </levels>
      <selections count="1">
        <selection n="[sales_data].[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F67C601-3480-4BA9-9BBC-7E9EE032110C}" cache="Slicer_Date_Hierarchy" caption="Year" level="1" rowHeight="222250"/>
  <slicer name="Month 1" xr10:uid="{413DC555-3823-4BE0-98B1-E60A4C4ABFA8}" cache="Slicer_Date_Hierarchy" caption="Month" startItem="11" level="2" rowHeight="222250"/>
  <slicer name="Region" xr10:uid="{38F90220-B2DF-4BA5-ABCF-F25765951FDB}" cache="Slicer_Region" caption="Region" level="1" rowHeight="222250"/>
  <slicer name="Product" xr10:uid="{D22B8AAF-660B-4D4A-8244-E48F670353FC}" cache="Slicer_Product" caption="Product" level="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519843-60A0-4D7E-9987-7589BF321156}" name="Table2" displayName="Table2" ref="A1:O501" totalsRowShown="0" headerRowDxfId="10831" dataDxfId="10829" headerRowBorderDxfId="10830" tableBorderDxfId="10828" totalsRowBorderDxfId="10827">
  <autoFilter ref="A1:O501" xr:uid="{62519843-60A0-4D7E-9987-7589BF321156}"/>
  <sortState xmlns:xlrd2="http://schemas.microsoft.com/office/spreadsheetml/2017/richdata2" ref="A2:O501">
    <sortCondition descending="1" ref="A2:A501"/>
  </sortState>
  <tableColumns count="15">
    <tableColumn id="1" xr3:uid="{0BA0D7D4-1201-4825-8D23-2AE47589C09A}" name="Date" dataDxfId="10826"/>
    <tableColumn id="2" xr3:uid="{BB0D575C-E480-4C75-8047-99C3BE8CBB6B}" name="Year" dataDxfId="10825">
      <calculatedColumnFormula>TEXT(A2,"yyyy")</calculatedColumnFormula>
    </tableColumn>
    <tableColumn id="3" xr3:uid="{2DE455D5-E178-426A-8415-3968DC085F5D}" name="Month" dataDxfId="10824">
      <calculatedColumnFormula>TEXT(A2,"mmm")</calculatedColumnFormula>
    </tableColumn>
    <tableColumn id="5" xr3:uid="{AB06681D-D933-4BD0-971F-398CA4C1EDEE}" name="OrderID" dataDxfId="10823"/>
    <tableColumn id="6" xr3:uid="{D0C2C2B7-2A50-4C58-AB3B-C87A8C4A6009}" name="Customer" dataDxfId="10822"/>
    <tableColumn id="7" xr3:uid="{6C647879-BA23-4201-BC6C-D2BC036D0957}" name="Region" dataDxfId="10821"/>
    <tableColumn id="8" xr3:uid="{541C782E-825D-46CD-BE93-92BF006CA525}" name="Salesperson" dataDxfId="10820"/>
    <tableColumn id="9" xr3:uid="{49BB192B-9EF1-4AE7-B0F4-A9648D9D7CD6}" name="Product" dataDxfId="10819"/>
    <tableColumn id="10" xr3:uid="{35A66C84-9B21-470E-BB8D-F6C1A21F4BF5}" name="Quantity" dataDxfId="10818"/>
    <tableColumn id="11" xr3:uid="{4563DB23-E181-4463-9FA7-31DF8882AEE9}" name="Unit Price" dataDxfId="10817"/>
    <tableColumn id="12" xr3:uid="{8C9EE696-6F70-439A-9480-ACB68929D552}" name="Discount %" dataDxfId="10816" dataCellStyle="Percent"/>
    <tableColumn id="13" xr3:uid="{833CB7CD-C3A0-4CBD-B29E-6843370B0033}" name="Unit Cost" dataDxfId="10815"/>
    <tableColumn id="14" xr3:uid="{880C574B-FD9B-485D-9143-C2EC5BED939A}" name="Sales" dataDxfId="10814">
      <calculatedColumnFormula>I2*J2*(1-K2)</calculatedColumnFormula>
    </tableColumn>
    <tableColumn id="15" xr3:uid="{37E3DBA6-A6A2-4E3C-A90F-8B09B2C5CF43}" name="Profit" dataDxfId="10813">
      <calculatedColumnFormula>M2-L2*I2</calculatedColumnFormula>
    </tableColumn>
    <tableColumn id="16" xr3:uid="{AE19B273-BA3A-40D1-8202-E59301526AC0}" name="frequent vs once" dataDxfId="10812">
      <calculatedColumnFormula>IF(COUNTIF(E2:E501,E2)&gt;1,"F","O")</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hreadedComments/threadedComment1.xml><?xml version="1.0" encoding="utf-8"?>
<ThreadedComments xmlns="http://schemas.microsoft.com/office/spreadsheetml/2018/threadedcomments" xmlns:x="http://schemas.openxmlformats.org/spreadsheetml/2006/main">
  <threadedComment ref="M5" dT="2026-03-10T19:10:59.59" personId="{3255EB49-6D5C-4ACB-8B76-01644BA32159}" id="{EEBDA697-065A-4621-806A-E3C86D994A0D}">
    <text>This shows the monthly sales % compared with last month</text>
  </threadedComment>
  <threadedComment ref="A6" dT="2026-03-10T19:02:43.88" personId="{3255EB49-6D5C-4ACB-8B76-01644BA32159}" id="{1AD8FBD2-678E-49C1-B3EC-C916BA55DE43}">
    <text>It shows YOY sales%</text>
  </threadedComment>
  <threadedComment ref="J6" dT="2026-03-10T19:05:08.16" personId="{3255EB49-6D5C-4ACB-8B76-01644BA32159}" id="{41688E5E-1D01-493A-A2AE-9A5DABF618EC}">
    <text xml:space="preserve">This value shows the contribution % of a region in total sales </text>
  </threadedComment>
  <threadedComment ref="P6" dT="2026-03-10T19:06:13.61" personId="{3255EB49-6D5C-4ACB-8B76-01644BA32159}" id="{E9D79FAE-2D85-4B72-8DD6-495A51285ED0}">
    <text>It shows the YOY profit %</text>
  </threadedComment>
  <threadedComment ref="V6" dT="2026-03-10T19:09:57.14" personId="{3255EB49-6D5C-4ACB-8B76-01644BA32159}" id="{C38ADD89-5D5B-4DD1-9467-31FA15741495}">
    <text>It shows the average order value)AOV)compared with last year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E7D3-6A6C-406C-A2EA-514DF32A1EB3}">
  <sheetPr codeName="Sheet1"/>
  <dimension ref="A1:O501"/>
  <sheetViews>
    <sheetView topLeftCell="B1" workbookViewId="0">
      <selection activeCell="K512" sqref="K512"/>
    </sheetView>
  </sheetViews>
  <sheetFormatPr defaultRowHeight="13.8" x14ac:dyDescent="0.25"/>
  <cols>
    <col min="1" max="1" width="10.296875" customWidth="1"/>
    <col min="2" max="2" width="9" customWidth="1"/>
    <col min="3" max="3" width="11.09765625" customWidth="1"/>
    <col min="4" max="4" width="11.8984375" customWidth="1"/>
    <col min="5" max="5" width="13.5" customWidth="1"/>
    <col min="6" max="6" width="11.09765625" customWidth="1"/>
    <col min="7" max="7" width="15.3984375" customWidth="1"/>
    <col min="8" max="8" width="12" customWidth="1"/>
    <col min="9" max="9" width="12.69921875" customWidth="1"/>
    <col min="10" max="10" width="13.5" customWidth="1"/>
    <col min="11" max="11" width="14.59765625" customWidth="1"/>
    <col min="12" max="12" width="13" customWidth="1"/>
    <col min="13" max="13" width="9.59765625" customWidth="1"/>
    <col min="14" max="14" width="10" customWidth="1"/>
    <col min="15" max="15" width="19.59765625" style="60" customWidth="1"/>
  </cols>
  <sheetData>
    <row r="1" spans="1:15" x14ac:dyDescent="0.25">
      <c r="A1" s="1" t="s">
        <v>0</v>
      </c>
      <c r="B1" s="2" t="s">
        <v>1</v>
      </c>
      <c r="C1" s="2" t="s">
        <v>2</v>
      </c>
      <c r="D1" s="2" t="s">
        <v>3</v>
      </c>
      <c r="E1" s="2" t="s">
        <v>4</v>
      </c>
      <c r="F1" s="2" t="s">
        <v>5</v>
      </c>
      <c r="G1" s="2" t="s">
        <v>6</v>
      </c>
      <c r="H1" s="2" t="s">
        <v>7</v>
      </c>
      <c r="I1" s="2" t="s">
        <v>8</v>
      </c>
      <c r="J1" s="2" t="s">
        <v>9</v>
      </c>
      <c r="K1" s="3" t="s">
        <v>10</v>
      </c>
      <c r="L1" s="2" t="s">
        <v>11</v>
      </c>
      <c r="M1" s="2" t="s">
        <v>12</v>
      </c>
      <c r="N1" s="4" t="s">
        <v>13</v>
      </c>
      <c r="O1" s="4" t="s">
        <v>14</v>
      </c>
    </row>
    <row r="2" spans="1:15" ht="14.4" x14ac:dyDescent="0.3">
      <c r="A2" s="10">
        <v>45892</v>
      </c>
      <c r="B2" s="11" t="str">
        <f t="shared" ref="B2:B65" si="0">TEXT(A2,"yyyy")</f>
        <v>2025</v>
      </c>
      <c r="C2" s="11" t="str">
        <f t="shared" ref="C2:C65" si="1">TEXT(A2,"mmm")</f>
        <v>Aug</v>
      </c>
      <c r="D2" s="12">
        <v>1352</v>
      </c>
      <c r="E2" s="12" t="s">
        <v>15</v>
      </c>
      <c r="F2" s="12" t="s">
        <v>16</v>
      </c>
      <c r="G2" s="12" t="s">
        <v>17</v>
      </c>
      <c r="H2" s="12" t="s">
        <v>18</v>
      </c>
      <c r="I2" s="12">
        <v>4</v>
      </c>
      <c r="J2" s="12">
        <v>276</v>
      </c>
      <c r="K2" s="13">
        <v>0.25</v>
      </c>
      <c r="L2" s="12">
        <v>193.2</v>
      </c>
      <c r="M2" s="12">
        <f t="shared" ref="M2:M65" si="2">I2*J2*(1-K2)</f>
        <v>828</v>
      </c>
      <c r="N2" s="14">
        <f t="shared" ref="N2:N65" si="3">M2-L2*I2</f>
        <v>55.200000000000045</v>
      </c>
      <c r="O2" s="14" t="str">
        <f t="shared" ref="O2:O65" si="4">IF(COUNTIF(E2:E501,E2)&gt;1,"F","O")</f>
        <v>F</v>
      </c>
    </row>
    <row r="3" spans="1:15" ht="14.4" x14ac:dyDescent="0.3">
      <c r="A3" s="10">
        <v>45891</v>
      </c>
      <c r="B3" s="11" t="str">
        <f t="shared" si="0"/>
        <v>2025</v>
      </c>
      <c r="C3" s="11" t="str">
        <f t="shared" si="1"/>
        <v>Aug</v>
      </c>
      <c r="D3" s="12">
        <v>1208</v>
      </c>
      <c r="E3" s="12" t="s">
        <v>19</v>
      </c>
      <c r="F3" s="12" t="s">
        <v>20</v>
      </c>
      <c r="G3" s="12" t="s">
        <v>21</v>
      </c>
      <c r="H3" s="12" t="s">
        <v>22</v>
      </c>
      <c r="I3" s="12">
        <v>8</v>
      </c>
      <c r="J3" s="12">
        <v>280</v>
      </c>
      <c r="K3" s="13">
        <v>0.15</v>
      </c>
      <c r="L3" s="12">
        <v>196</v>
      </c>
      <c r="M3" s="12">
        <f t="shared" si="2"/>
        <v>1904</v>
      </c>
      <c r="N3" s="14">
        <f t="shared" si="3"/>
        <v>336</v>
      </c>
      <c r="O3" s="14" t="str">
        <f t="shared" si="4"/>
        <v>F</v>
      </c>
    </row>
    <row r="4" spans="1:15" ht="14.4" x14ac:dyDescent="0.3">
      <c r="A4" s="10">
        <v>45889</v>
      </c>
      <c r="B4" s="11" t="str">
        <f t="shared" si="0"/>
        <v>2025</v>
      </c>
      <c r="C4" s="11" t="str">
        <f t="shared" si="1"/>
        <v>Aug</v>
      </c>
      <c r="D4" s="12">
        <v>1337</v>
      </c>
      <c r="E4" s="12" t="s">
        <v>23</v>
      </c>
      <c r="F4" s="12" t="s">
        <v>24</v>
      </c>
      <c r="G4" s="12" t="s">
        <v>25</v>
      </c>
      <c r="H4" s="12" t="s">
        <v>26</v>
      </c>
      <c r="I4" s="12">
        <v>5</v>
      </c>
      <c r="J4" s="12">
        <v>180</v>
      </c>
      <c r="K4" s="13">
        <v>0</v>
      </c>
      <c r="L4" s="12">
        <v>126</v>
      </c>
      <c r="M4" s="12">
        <f t="shared" si="2"/>
        <v>900</v>
      </c>
      <c r="N4" s="14">
        <f t="shared" si="3"/>
        <v>270</v>
      </c>
      <c r="O4" s="14" t="str">
        <f t="shared" si="4"/>
        <v>F</v>
      </c>
    </row>
    <row r="5" spans="1:15" ht="14.4" x14ac:dyDescent="0.3">
      <c r="A5" s="10">
        <v>45884</v>
      </c>
      <c r="B5" s="11" t="str">
        <f t="shared" si="0"/>
        <v>2025</v>
      </c>
      <c r="C5" s="11" t="str">
        <f t="shared" si="1"/>
        <v>Aug</v>
      </c>
      <c r="D5" s="12">
        <v>1338</v>
      </c>
      <c r="E5" s="12" t="s">
        <v>27</v>
      </c>
      <c r="F5" s="12" t="s">
        <v>16</v>
      </c>
      <c r="G5" s="12" t="s">
        <v>28</v>
      </c>
      <c r="H5" s="12" t="s">
        <v>29</v>
      </c>
      <c r="I5" s="12">
        <v>10</v>
      </c>
      <c r="J5" s="12">
        <v>453</v>
      </c>
      <c r="K5" s="13">
        <v>0</v>
      </c>
      <c r="L5" s="12">
        <v>317.10000000000002</v>
      </c>
      <c r="M5" s="12">
        <f t="shared" si="2"/>
        <v>4530</v>
      </c>
      <c r="N5" s="14">
        <f t="shared" si="3"/>
        <v>1359</v>
      </c>
      <c r="O5" s="14" t="str">
        <f t="shared" si="4"/>
        <v>F</v>
      </c>
    </row>
    <row r="6" spans="1:15" ht="14.4" x14ac:dyDescent="0.3">
      <c r="A6" s="10">
        <v>45882</v>
      </c>
      <c r="B6" s="11" t="str">
        <f t="shared" si="0"/>
        <v>2025</v>
      </c>
      <c r="C6" s="11" t="str">
        <f t="shared" si="1"/>
        <v>Aug</v>
      </c>
      <c r="D6" s="12">
        <v>1035</v>
      </c>
      <c r="E6" s="12" t="s">
        <v>30</v>
      </c>
      <c r="F6" s="12" t="s">
        <v>16</v>
      </c>
      <c r="G6" s="12" t="s">
        <v>21</v>
      </c>
      <c r="H6" s="12" t="s">
        <v>31</v>
      </c>
      <c r="I6" s="12">
        <v>4</v>
      </c>
      <c r="J6" s="12">
        <v>98</v>
      </c>
      <c r="K6" s="13">
        <v>0.3</v>
      </c>
      <c r="L6" s="12">
        <v>68.599999999999994</v>
      </c>
      <c r="M6" s="12">
        <f t="shared" si="2"/>
        <v>274.39999999999998</v>
      </c>
      <c r="N6" s="14">
        <f t="shared" si="3"/>
        <v>0</v>
      </c>
      <c r="O6" s="14" t="str">
        <f t="shared" si="4"/>
        <v>F</v>
      </c>
    </row>
    <row r="7" spans="1:15" ht="14.4" x14ac:dyDescent="0.3">
      <c r="A7" s="10">
        <v>45882</v>
      </c>
      <c r="B7" s="11" t="str">
        <f t="shared" si="0"/>
        <v>2025</v>
      </c>
      <c r="C7" s="11" t="str">
        <f t="shared" si="1"/>
        <v>Aug</v>
      </c>
      <c r="D7" s="12">
        <v>1128</v>
      </c>
      <c r="E7" s="12" t="s">
        <v>32</v>
      </c>
      <c r="F7" s="12" t="s">
        <v>16</v>
      </c>
      <c r="G7" s="12" t="s">
        <v>33</v>
      </c>
      <c r="H7" s="12" t="s">
        <v>22</v>
      </c>
      <c r="I7" s="12">
        <v>2</v>
      </c>
      <c r="J7" s="12">
        <v>468</v>
      </c>
      <c r="K7" s="13">
        <v>0</v>
      </c>
      <c r="L7" s="12">
        <v>327.60000000000002</v>
      </c>
      <c r="M7" s="12">
        <f t="shared" si="2"/>
        <v>936</v>
      </c>
      <c r="N7" s="14">
        <f t="shared" si="3"/>
        <v>280.79999999999995</v>
      </c>
      <c r="O7" s="14" t="str">
        <f t="shared" si="4"/>
        <v>F</v>
      </c>
    </row>
    <row r="8" spans="1:15" ht="14.4" x14ac:dyDescent="0.3">
      <c r="A8" s="10">
        <v>45882</v>
      </c>
      <c r="B8" s="11" t="str">
        <f t="shared" si="0"/>
        <v>2025</v>
      </c>
      <c r="C8" s="11" t="str">
        <f t="shared" si="1"/>
        <v>Aug</v>
      </c>
      <c r="D8" s="12">
        <v>1314</v>
      </c>
      <c r="E8" s="12" t="s">
        <v>23</v>
      </c>
      <c r="F8" s="12" t="s">
        <v>16</v>
      </c>
      <c r="G8" s="12" t="s">
        <v>25</v>
      </c>
      <c r="H8" s="12" t="s">
        <v>31</v>
      </c>
      <c r="I8" s="12">
        <v>10</v>
      </c>
      <c r="J8" s="12">
        <v>464</v>
      </c>
      <c r="K8" s="13">
        <v>0</v>
      </c>
      <c r="L8" s="12">
        <v>324.8</v>
      </c>
      <c r="M8" s="12">
        <f t="shared" si="2"/>
        <v>4640</v>
      </c>
      <c r="N8" s="14">
        <f t="shared" si="3"/>
        <v>1392</v>
      </c>
      <c r="O8" s="14" t="str">
        <f t="shared" si="4"/>
        <v>F</v>
      </c>
    </row>
    <row r="9" spans="1:15" ht="14.4" x14ac:dyDescent="0.3">
      <c r="A9" s="10">
        <v>45882</v>
      </c>
      <c r="B9" s="11" t="str">
        <f t="shared" si="0"/>
        <v>2025</v>
      </c>
      <c r="C9" s="11" t="str">
        <f t="shared" si="1"/>
        <v>Aug</v>
      </c>
      <c r="D9" s="12">
        <v>1071</v>
      </c>
      <c r="E9" s="12" t="s">
        <v>15</v>
      </c>
      <c r="F9" s="12" t="s">
        <v>20</v>
      </c>
      <c r="G9" s="12" t="s">
        <v>17</v>
      </c>
      <c r="H9" s="12" t="s">
        <v>31</v>
      </c>
      <c r="I9" s="12">
        <v>1</v>
      </c>
      <c r="J9" s="12">
        <v>480</v>
      </c>
      <c r="K9" s="13">
        <v>0</v>
      </c>
      <c r="L9" s="12">
        <v>336</v>
      </c>
      <c r="M9" s="12">
        <f t="shared" si="2"/>
        <v>480</v>
      </c>
      <c r="N9" s="14">
        <f t="shared" si="3"/>
        <v>144</v>
      </c>
      <c r="O9" s="14" t="str">
        <f t="shared" si="4"/>
        <v>F</v>
      </c>
    </row>
    <row r="10" spans="1:15" ht="14.4" x14ac:dyDescent="0.3">
      <c r="A10" s="10">
        <v>45880</v>
      </c>
      <c r="B10" s="11" t="str">
        <f t="shared" si="0"/>
        <v>2025</v>
      </c>
      <c r="C10" s="11" t="str">
        <f t="shared" si="1"/>
        <v>Aug</v>
      </c>
      <c r="D10" s="12">
        <v>1275</v>
      </c>
      <c r="E10" s="12" t="s">
        <v>15</v>
      </c>
      <c r="F10" s="12" t="s">
        <v>16</v>
      </c>
      <c r="G10" s="12" t="s">
        <v>34</v>
      </c>
      <c r="H10" s="12" t="s">
        <v>31</v>
      </c>
      <c r="I10" s="12">
        <v>1</v>
      </c>
      <c r="J10" s="12">
        <v>304</v>
      </c>
      <c r="K10" s="13">
        <v>0.15</v>
      </c>
      <c r="L10" s="12">
        <v>212.8</v>
      </c>
      <c r="M10" s="12">
        <f t="shared" si="2"/>
        <v>258.39999999999998</v>
      </c>
      <c r="N10" s="14">
        <f t="shared" si="3"/>
        <v>45.599999999999966</v>
      </c>
      <c r="O10" s="14" t="str">
        <f t="shared" si="4"/>
        <v>F</v>
      </c>
    </row>
    <row r="11" spans="1:15" ht="14.4" x14ac:dyDescent="0.3">
      <c r="A11" s="10">
        <v>45879</v>
      </c>
      <c r="B11" s="11" t="str">
        <f t="shared" si="0"/>
        <v>2025</v>
      </c>
      <c r="C11" s="11" t="str">
        <f t="shared" si="1"/>
        <v>Aug</v>
      </c>
      <c r="D11" s="12">
        <v>1356</v>
      </c>
      <c r="E11" s="12" t="s">
        <v>15</v>
      </c>
      <c r="F11" s="12" t="s">
        <v>24</v>
      </c>
      <c r="G11" s="12" t="s">
        <v>33</v>
      </c>
      <c r="H11" s="12" t="s">
        <v>31</v>
      </c>
      <c r="I11" s="12">
        <v>3</v>
      </c>
      <c r="J11" s="12">
        <v>398</v>
      </c>
      <c r="K11" s="13">
        <v>0.05</v>
      </c>
      <c r="L11" s="12">
        <v>278.60000000000002</v>
      </c>
      <c r="M11" s="12">
        <f t="shared" si="2"/>
        <v>1134.3</v>
      </c>
      <c r="N11" s="14">
        <f t="shared" si="3"/>
        <v>298.49999999999989</v>
      </c>
      <c r="O11" s="14" t="str">
        <f t="shared" si="4"/>
        <v>F</v>
      </c>
    </row>
    <row r="12" spans="1:15" ht="14.4" x14ac:dyDescent="0.3">
      <c r="A12" s="10">
        <v>45879</v>
      </c>
      <c r="B12" s="11" t="str">
        <f t="shared" si="0"/>
        <v>2025</v>
      </c>
      <c r="C12" s="11" t="str">
        <f t="shared" si="1"/>
        <v>Aug</v>
      </c>
      <c r="D12" s="12">
        <v>1296</v>
      </c>
      <c r="E12" s="12" t="s">
        <v>35</v>
      </c>
      <c r="F12" s="12" t="s">
        <v>20</v>
      </c>
      <c r="G12" s="12" t="s">
        <v>21</v>
      </c>
      <c r="H12" s="12" t="s">
        <v>36</v>
      </c>
      <c r="I12" s="12">
        <v>5</v>
      </c>
      <c r="J12" s="12">
        <v>452</v>
      </c>
      <c r="K12" s="13">
        <v>0.25</v>
      </c>
      <c r="L12" s="12">
        <v>316.39999999999998</v>
      </c>
      <c r="M12" s="12">
        <f t="shared" si="2"/>
        <v>1695</v>
      </c>
      <c r="N12" s="14">
        <f t="shared" si="3"/>
        <v>113</v>
      </c>
      <c r="O12" s="14" t="str">
        <f t="shared" si="4"/>
        <v>F</v>
      </c>
    </row>
    <row r="13" spans="1:15" ht="14.4" x14ac:dyDescent="0.3">
      <c r="A13" s="10">
        <v>45878</v>
      </c>
      <c r="B13" s="11" t="str">
        <f t="shared" si="0"/>
        <v>2025</v>
      </c>
      <c r="C13" s="11" t="str">
        <f t="shared" si="1"/>
        <v>Aug</v>
      </c>
      <c r="D13" s="12">
        <v>1340</v>
      </c>
      <c r="E13" s="12" t="s">
        <v>37</v>
      </c>
      <c r="F13" s="12" t="s">
        <v>16</v>
      </c>
      <c r="G13" s="12" t="s">
        <v>17</v>
      </c>
      <c r="H13" s="12" t="s">
        <v>26</v>
      </c>
      <c r="I13" s="12">
        <v>6</v>
      </c>
      <c r="J13" s="12">
        <v>103</v>
      </c>
      <c r="K13" s="13">
        <v>0.3</v>
      </c>
      <c r="L13" s="12">
        <v>72.099999999999994</v>
      </c>
      <c r="M13" s="12">
        <f t="shared" si="2"/>
        <v>432.59999999999997</v>
      </c>
      <c r="N13" s="14">
        <f t="shared" si="3"/>
        <v>0</v>
      </c>
      <c r="O13" s="14" t="str">
        <f t="shared" si="4"/>
        <v>F</v>
      </c>
    </row>
    <row r="14" spans="1:15" ht="14.4" x14ac:dyDescent="0.3">
      <c r="A14" s="10">
        <v>45877</v>
      </c>
      <c r="B14" s="11" t="str">
        <f t="shared" si="0"/>
        <v>2025</v>
      </c>
      <c r="C14" s="11" t="str">
        <f t="shared" si="1"/>
        <v>Aug</v>
      </c>
      <c r="D14" s="12">
        <v>1245</v>
      </c>
      <c r="E14" s="12" t="s">
        <v>15</v>
      </c>
      <c r="F14" s="12" t="s">
        <v>20</v>
      </c>
      <c r="G14" s="12" t="s">
        <v>25</v>
      </c>
      <c r="H14" s="12" t="s">
        <v>26</v>
      </c>
      <c r="I14" s="12">
        <v>9</v>
      </c>
      <c r="J14" s="12">
        <v>150</v>
      </c>
      <c r="K14" s="13">
        <v>0</v>
      </c>
      <c r="L14" s="12">
        <v>105</v>
      </c>
      <c r="M14" s="12">
        <f t="shared" si="2"/>
        <v>1350</v>
      </c>
      <c r="N14" s="14">
        <f t="shared" si="3"/>
        <v>405</v>
      </c>
      <c r="O14" s="14" t="str">
        <f t="shared" si="4"/>
        <v>F</v>
      </c>
    </row>
    <row r="15" spans="1:15" ht="14.4" x14ac:dyDescent="0.3">
      <c r="A15" s="10">
        <v>45876</v>
      </c>
      <c r="B15" s="11" t="str">
        <f t="shared" si="0"/>
        <v>2025</v>
      </c>
      <c r="C15" s="11" t="str">
        <f t="shared" si="1"/>
        <v>Aug</v>
      </c>
      <c r="D15" s="12">
        <v>1262</v>
      </c>
      <c r="E15" s="12" t="s">
        <v>30</v>
      </c>
      <c r="F15" s="12" t="s">
        <v>38</v>
      </c>
      <c r="G15" s="12" t="s">
        <v>34</v>
      </c>
      <c r="H15" s="12" t="s">
        <v>31</v>
      </c>
      <c r="I15" s="12">
        <v>9</v>
      </c>
      <c r="J15" s="12">
        <v>102</v>
      </c>
      <c r="K15" s="13">
        <v>0.2</v>
      </c>
      <c r="L15" s="12">
        <v>71.399999999999991</v>
      </c>
      <c r="M15" s="12">
        <f t="shared" si="2"/>
        <v>734.40000000000009</v>
      </c>
      <c r="N15" s="14">
        <f t="shared" si="3"/>
        <v>91.800000000000182</v>
      </c>
      <c r="O15" s="14" t="str">
        <f t="shared" si="4"/>
        <v>F</v>
      </c>
    </row>
    <row r="16" spans="1:15" ht="14.4" x14ac:dyDescent="0.3">
      <c r="A16" s="10">
        <v>45875</v>
      </c>
      <c r="B16" s="11" t="str">
        <f t="shared" si="0"/>
        <v>2025</v>
      </c>
      <c r="C16" s="11" t="str">
        <f t="shared" si="1"/>
        <v>Aug</v>
      </c>
      <c r="D16" s="12">
        <v>1484</v>
      </c>
      <c r="E16" s="12" t="s">
        <v>39</v>
      </c>
      <c r="F16" s="12" t="s">
        <v>20</v>
      </c>
      <c r="G16" s="12" t="s">
        <v>25</v>
      </c>
      <c r="H16" s="12" t="s">
        <v>40</v>
      </c>
      <c r="I16" s="12">
        <v>6</v>
      </c>
      <c r="J16" s="12">
        <v>371</v>
      </c>
      <c r="K16" s="13">
        <v>0.15</v>
      </c>
      <c r="L16" s="12">
        <v>259.7</v>
      </c>
      <c r="M16" s="12">
        <f t="shared" si="2"/>
        <v>1892.1</v>
      </c>
      <c r="N16" s="14">
        <f t="shared" si="3"/>
        <v>333.90000000000009</v>
      </c>
      <c r="O16" s="14" t="str">
        <f t="shared" si="4"/>
        <v>F</v>
      </c>
    </row>
    <row r="17" spans="1:15" ht="14.4" x14ac:dyDescent="0.3">
      <c r="A17" s="10">
        <v>45874</v>
      </c>
      <c r="B17" s="11" t="str">
        <f t="shared" si="0"/>
        <v>2025</v>
      </c>
      <c r="C17" s="11" t="str">
        <f t="shared" si="1"/>
        <v>Aug</v>
      </c>
      <c r="D17" s="12">
        <v>1076</v>
      </c>
      <c r="E17" s="12" t="s">
        <v>23</v>
      </c>
      <c r="F17" s="12" t="s">
        <v>38</v>
      </c>
      <c r="G17" s="12" t="s">
        <v>25</v>
      </c>
      <c r="H17" s="12" t="s">
        <v>29</v>
      </c>
      <c r="I17" s="12">
        <v>5</v>
      </c>
      <c r="J17" s="12">
        <v>99</v>
      </c>
      <c r="K17" s="13">
        <v>0.3</v>
      </c>
      <c r="L17" s="12">
        <v>69.3</v>
      </c>
      <c r="M17" s="12">
        <f t="shared" si="2"/>
        <v>346.5</v>
      </c>
      <c r="N17" s="14">
        <f t="shared" si="3"/>
        <v>0</v>
      </c>
      <c r="O17" s="14" t="str">
        <f t="shared" si="4"/>
        <v>F</v>
      </c>
    </row>
    <row r="18" spans="1:15" ht="14.4" x14ac:dyDescent="0.3">
      <c r="A18" s="10">
        <v>45874</v>
      </c>
      <c r="B18" s="11" t="str">
        <f t="shared" si="0"/>
        <v>2025</v>
      </c>
      <c r="C18" s="11" t="str">
        <f t="shared" si="1"/>
        <v>Aug</v>
      </c>
      <c r="D18" s="12">
        <v>1131</v>
      </c>
      <c r="E18" s="12" t="s">
        <v>27</v>
      </c>
      <c r="F18" s="12" t="s">
        <v>24</v>
      </c>
      <c r="G18" s="12" t="s">
        <v>25</v>
      </c>
      <c r="H18" s="12" t="s">
        <v>41</v>
      </c>
      <c r="I18" s="12">
        <v>4</v>
      </c>
      <c r="J18" s="12">
        <v>310</v>
      </c>
      <c r="K18" s="13">
        <v>0.1</v>
      </c>
      <c r="L18" s="12">
        <v>217</v>
      </c>
      <c r="M18" s="12">
        <f t="shared" si="2"/>
        <v>1116</v>
      </c>
      <c r="N18" s="14">
        <f t="shared" si="3"/>
        <v>248</v>
      </c>
      <c r="O18" s="14" t="str">
        <f t="shared" si="4"/>
        <v>F</v>
      </c>
    </row>
    <row r="19" spans="1:15" ht="14.4" x14ac:dyDescent="0.3">
      <c r="A19" s="10">
        <v>45874</v>
      </c>
      <c r="B19" s="11" t="str">
        <f t="shared" si="0"/>
        <v>2025</v>
      </c>
      <c r="C19" s="11" t="str">
        <f t="shared" si="1"/>
        <v>Aug</v>
      </c>
      <c r="D19" s="12">
        <v>1138</v>
      </c>
      <c r="E19" s="12" t="s">
        <v>23</v>
      </c>
      <c r="F19" s="12" t="s">
        <v>38</v>
      </c>
      <c r="G19" s="12" t="s">
        <v>17</v>
      </c>
      <c r="H19" s="12" t="s">
        <v>26</v>
      </c>
      <c r="I19" s="12">
        <v>5</v>
      </c>
      <c r="J19" s="12">
        <v>317</v>
      </c>
      <c r="K19" s="13">
        <v>0.05</v>
      </c>
      <c r="L19" s="12">
        <v>221.9</v>
      </c>
      <c r="M19" s="12">
        <f t="shared" si="2"/>
        <v>1505.75</v>
      </c>
      <c r="N19" s="14">
        <f t="shared" si="3"/>
        <v>396.25</v>
      </c>
      <c r="O19" s="14" t="str">
        <f t="shared" si="4"/>
        <v>F</v>
      </c>
    </row>
    <row r="20" spans="1:15" ht="14.4" x14ac:dyDescent="0.3">
      <c r="A20" s="10">
        <v>45869</v>
      </c>
      <c r="B20" s="11" t="str">
        <f t="shared" si="0"/>
        <v>2025</v>
      </c>
      <c r="C20" s="11" t="str">
        <f t="shared" si="1"/>
        <v>Jul</v>
      </c>
      <c r="D20" s="12">
        <v>1097</v>
      </c>
      <c r="E20" s="12" t="s">
        <v>32</v>
      </c>
      <c r="F20" s="12" t="s">
        <v>24</v>
      </c>
      <c r="G20" s="12" t="s">
        <v>28</v>
      </c>
      <c r="H20" s="12" t="s">
        <v>31</v>
      </c>
      <c r="I20" s="12">
        <v>3</v>
      </c>
      <c r="J20" s="12">
        <v>301</v>
      </c>
      <c r="K20" s="13">
        <v>0.2</v>
      </c>
      <c r="L20" s="12">
        <v>210.7</v>
      </c>
      <c r="M20" s="12">
        <f t="shared" si="2"/>
        <v>722.40000000000009</v>
      </c>
      <c r="N20" s="14">
        <f t="shared" si="3"/>
        <v>90.300000000000182</v>
      </c>
      <c r="O20" s="14" t="str">
        <f t="shared" si="4"/>
        <v>F</v>
      </c>
    </row>
    <row r="21" spans="1:15" ht="14.4" x14ac:dyDescent="0.3">
      <c r="A21" s="10">
        <v>45869</v>
      </c>
      <c r="B21" s="11" t="str">
        <f t="shared" si="0"/>
        <v>2025</v>
      </c>
      <c r="C21" s="11" t="str">
        <f t="shared" si="1"/>
        <v>Jul</v>
      </c>
      <c r="D21" s="12">
        <v>1240</v>
      </c>
      <c r="E21" s="12" t="s">
        <v>27</v>
      </c>
      <c r="F21" s="12" t="s">
        <v>38</v>
      </c>
      <c r="G21" s="12" t="s">
        <v>28</v>
      </c>
      <c r="H21" s="12" t="s">
        <v>36</v>
      </c>
      <c r="I21" s="12">
        <v>6</v>
      </c>
      <c r="J21" s="12">
        <v>317</v>
      </c>
      <c r="K21" s="13">
        <v>0.1</v>
      </c>
      <c r="L21" s="12">
        <v>221.9</v>
      </c>
      <c r="M21" s="12">
        <f t="shared" si="2"/>
        <v>1711.8</v>
      </c>
      <c r="N21" s="14">
        <f t="shared" si="3"/>
        <v>380.39999999999986</v>
      </c>
      <c r="O21" s="14" t="str">
        <f t="shared" si="4"/>
        <v>F</v>
      </c>
    </row>
    <row r="22" spans="1:15" ht="14.4" x14ac:dyDescent="0.3">
      <c r="A22" s="10">
        <v>45869</v>
      </c>
      <c r="B22" s="11" t="str">
        <f t="shared" si="0"/>
        <v>2025</v>
      </c>
      <c r="C22" s="11" t="str">
        <f t="shared" si="1"/>
        <v>Jul</v>
      </c>
      <c r="D22" s="12">
        <v>1371</v>
      </c>
      <c r="E22" s="12" t="s">
        <v>37</v>
      </c>
      <c r="F22" s="12" t="s">
        <v>24</v>
      </c>
      <c r="G22" s="12" t="s">
        <v>25</v>
      </c>
      <c r="H22" s="12" t="s">
        <v>18</v>
      </c>
      <c r="I22" s="12">
        <v>10</v>
      </c>
      <c r="J22" s="12">
        <v>326</v>
      </c>
      <c r="K22" s="13">
        <v>0</v>
      </c>
      <c r="L22" s="12">
        <v>228.2</v>
      </c>
      <c r="M22" s="12">
        <f t="shared" si="2"/>
        <v>3260</v>
      </c>
      <c r="N22" s="14">
        <f t="shared" si="3"/>
        <v>978</v>
      </c>
      <c r="O22" s="14" t="str">
        <f t="shared" si="4"/>
        <v>F</v>
      </c>
    </row>
    <row r="23" spans="1:15" ht="14.4" x14ac:dyDescent="0.3">
      <c r="A23" s="10">
        <v>45869</v>
      </c>
      <c r="B23" s="11" t="str">
        <f t="shared" si="0"/>
        <v>2025</v>
      </c>
      <c r="C23" s="11" t="str">
        <f t="shared" si="1"/>
        <v>Jul</v>
      </c>
      <c r="D23" s="12">
        <v>1422</v>
      </c>
      <c r="E23" s="12" t="s">
        <v>32</v>
      </c>
      <c r="F23" s="12" t="s">
        <v>16</v>
      </c>
      <c r="G23" s="12" t="s">
        <v>34</v>
      </c>
      <c r="H23" s="12" t="s">
        <v>29</v>
      </c>
      <c r="I23" s="12">
        <v>4</v>
      </c>
      <c r="J23" s="12">
        <v>398</v>
      </c>
      <c r="K23" s="13">
        <v>0.15</v>
      </c>
      <c r="L23" s="12">
        <v>278.60000000000002</v>
      </c>
      <c r="M23" s="12">
        <f t="shared" si="2"/>
        <v>1353.2</v>
      </c>
      <c r="N23" s="14">
        <f t="shared" si="3"/>
        <v>238.79999999999995</v>
      </c>
      <c r="O23" s="14" t="str">
        <f t="shared" si="4"/>
        <v>F</v>
      </c>
    </row>
    <row r="24" spans="1:15" ht="14.4" x14ac:dyDescent="0.3">
      <c r="A24" s="10">
        <v>45863</v>
      </c>
      <c r="B24" s="11" t="str">
        <f t="shared" si="0"/>
        <v>2025</v>
      </c>
      <c r="C24" s="11" t="str">
        <f t="shared" si="1"/>
        <v>Jul</v>
      </c>
      <c r="D24" s="12">
        <v>1346</v>
      </c>
      <c r="E24" s="12" t="s">
        <v>23</v>
      </c>
      <c r="F24" s="12" t="s">
        <v>16</v>
      </c>
      <c r="G24" s="12" t="s">
        <v>34</v>
      </c>
      <c r="H24" s="12" t="s">
        <v>22</v>
      </c>
      <c r="I24" s="12">
        <v>4</v>
      </c>
      <c r="J24" s="12">
        <v>162</v>
      </c>
      <c r="K24" s="13">
        <v>0.1</v>
      </c>
      <c r="L24" s="12">
        <v>113.4</v>
      </c>
      <c r="M24" s="12">
        <f t="shared" si="2"/>
        <v>583.20000000000005</v>
      </c>
      <c r="N24" s="14">
        <f t="shared" si="3"/>
        <v>129.60000000000002</v>
      </c>
      <c r="O24" s="14" t="str">
        <f t="shared" si="4"/>
        <v>F</v>
      </c>
    </row>
    <row r="25" spans="1:15" ht="14.4" x14ac:dyDescent="0.3">
      <c r="A25" s="10">
        <v>45862</v>
      </c>
      <c r="B25" s="11" t="str">
        <f t="shared" si="0"/>
        <v>2025</v>
      </c>
      <c r="C25" s="11" t="str">
        <f t="shared" si="1"/>
        <v>Jul</v>
      </c>
      <c r="D25" s="12">
        <v>1394</v>
      </c>
      <c r="E25" s="12" t="s">
        <v>19</v>
      </c>
      <c r="F25" s="12" t="s">
        <v>16</v>
      </c>
      <c r="G25" s="12" t="s">
        <v>21</v>
      </c>
      <c r="H25" s="12" t="s">
        <v>18</v>
      </c>
      <c r="I25" s="12">
        <v>5</v>
      </c>
      <c r="J25" s="12">
        <v>332</v>
      </c>
      <c r="K25" s="13">
        <v>0.2</v>
      </c>
      <c r="L25" s="12">
        <v>232.4</v>
      </c>
      <c r="M25" s="12">
        <f t="shared" si="2"/>
        <v>1328</v>
      </c>
      <c r="N25" s="14">
        <f t="shared" si="3"/>
        <v>166</v>
      </c>
      <c r="O25" s="14" t="str">
        <f t="shared" si="4"/>
        <v>F</v>
      </c>
    </row>
    <row r="26" spans="1:15" ht="14.4" x14ac:dyDescent="0.3">
      <c r="A26" s="10">
        <v>45862</v>
      </c>
      <c r="B26" s="11" t="str">
        <f t="shared" si="0"/>
        <v>2025</v>
      </c>
      <c r="C26" s="11" t="str">
        <f t="shared" si="1"/>
        <v>Jul</v>
      </c>
      <c r="D26" s="12">
        <v>1433</v>
      </c>
      <c r="E26" s="12" t="s">
        <v>19</v>
      </c>
      <c r="F26" s="12" t="s">
        <v>38</v>
      </c>
      <c r="G26" s="12" t="s">
        <v>17</v>
      </c>
      <c r="H26" s="12" t="s">
        <v>29</v>
      </c>
      <c r="I26" s="12">
        <v>2</v>
      </c>
      <c r="J26" s="12">
        <v>305</v>
      </c>
      <c r="K26" s="13">
        <v>0.2</v>
      </c>
      <c r="L26" s="12">
        <v>213.5</v>
      </c>
      <c r="M26" s="12">
        <f t="shared" si="2"/>
        <v>488</v>
      </c>
      <c r="N26" s="14">
        <f t="shared" si="3"/>
        <v>61</v>
      </c>
      <c r="O26" s="14" t="str">
        <f t="shared" si="4"/>
        <v>F</v>
      </c>
    </row>
    <row r="27" spans="1:15" ht="14.4" x14ac:dyDescent="0.3">
      <c r="A27" s="10">
        <v>45861</v>
      </c>
      <c r="B27" s="11" t="str">
        <f t="shared" si="0"/>
        <v>2025</v>
      </c>
      <c r="C27" s="11" t="str">
        <f t="shared" si="1"/>
        <v>Jul</v>
      </c>
      <c r="D27" s="12">
        <v>1390</v>
      </c>
      <c r="E27" s="12" t="s">
        <v>30</v>
      </c>
      <c r="F27" s="12" t="s">
        <v>24</v>
      </c>
      <c r="G27" s="12" t="s">
        <v>34</v>
      </c>
      <c r="H27" s="12" t="s">
        <v>31</v>
      </c>
      <c r="I27" s="12">
        <v>9</v>
      </c>
      <c r="J27" s="12">
        <v>414</v>
      </c>
      <c r="K27" s="13">
        <v>0.05</v>
      </c>
      <c r="L27" s="12">
        <v>289.8</v>
      </c>
      <c r="M27" s="12">
        <f t="shared" si="2"/>
        <v>3539.7</v>
      </c>
      <c r="N27" s="14">
        <f t="shared" si="3"/>
        <v>931.49999999999955</v>
      </c>
      <c r="O27" s="14" t="str">
        <f t="shared" si="4"/>
        <v>F</v>
      </c>
    </row>
    <row r="28" spans="1:15" ht="14.4" x14ac:dyDescent="0.3">
      <c r="A28" s="10">
        <v>45859</v>
      </c>
      <c r="B28" s="11" t="str">
        <f t="shared" si="0"/>
        <v>2025</v>
      </c>
      <c r="C28" s="11" t="str">
        <f t="shared" si="1"/>
        <v>Jul</v>
      </c>
      <c r="D28" s="12">
        <v>1032</v>
      </c>
      <c r="E28" s="12" t="s">
        <v>15</v>
      </c>
      <c r="F28" s="12" t="s">
        <v>16</v>
      </c>
      <c r="G28" s="12" t="s">
        <v>17</v>
      </c>
      <c r="H28" s="12" t="s">
        <v>41</v>
      </c>
      <c r="I28" s="12">
        <v>1</v>
      </c>
      <c r="J28" s="12">
        <v>302</v>
      </c>
      <c r="K28" s="13">
        <v>0.1</v>
      </c>
      <c r="L28" s="12">
        <v>211.4</v>
      </c>
      <c r="M28" s="12">
        <f t="shared" si="2"/>
        <v>271.8</v>
      </c>
      <c r="N28" s="14">
        <f t="shared" si="3"/>
        <v>60.400000000000006</v>
      </c>
      <c r="O28" s="14" t="str">
        <f t="shared" si="4"/>
        <v>F</v>
      </c>
    </row>
    <row r="29" spans="1:15" ht="14.4" x14ac:dyDescent="0.3">
      <c r="A29" s="10">
        <v>45859</v>
      </c>
      <c r="B29" s="11" t="str">
        <f t="shared" si="0"/>
        <v>2025</v>
      </c>
      <c r="C29" s="11" t="str">
        <f t="shared" si="1"/>
        <v>Jul</v>
      </c>
      <c r="D29" s="12">
        <v>1075</v>
      </c>
      <c r="E29" s="12" t="s">
        <v>35</v>
      </c>
      <c r="F29" s="12" t="s">
        <v>16</v>
      </c>
      <c r="G29" s="12" t="s">
        <v>21</v>
      </c>
      <c r="H29" s="12" t="s">
        <v>31</v>
      </c>
      <c r="I29" s="12">
        <v>3</v>
      </c>
      <c r="J29" s="12">
        <v>469</v>
      </c>
      <c r="K29" s="13">
        <v>0.2</v>
      </c>
      <c r="L29" s="12">
        <v>328.3</v>
      </c>
      <c r="M29" s="12">
        <f t="shared" si="2"/>
        <v>1125.6000000000001</v>
      </c>
      <c r="N29" s="14">
        <f t="shared" si="3"/>
        <v>140.70000000000005</v>
      </c>
      <c r="O29" s="14" t="str">
        <f t="shared" si="4"/>
        <v>F</v>
      </c>
    </row>
    <row r="30" spans="1:15" ht="14.4" x14ac:dyDescent="0.3">
      <c r="A30" s="10">
        <v>45858</v>
      </c>
      <c r="B30" s="11" t="str">
        <f t="shared" si="0"/>
        <v>2025</v>
      </c>
      <c r="C30" s="11" t="str">
        <f t="shared" si="1"/>
        <v>Jul</v>
      </c>
      <c r="D30" s="12">
        <v>1329</v>
      </c>
      <c r="E30" s="12" t="s">
        <v>23</v>
      </c>
      <c r="F30" s="12" t="s">
        <v>24</v>
      </c>
      <c r="G30" s="12" t="s">
        <v>21</v>
      </c>
      <c r="H30" s="12" t="s">
        <v>26</v>
      </c>
      <c r="I30" s="12">
        <v>9</v>
      </c>
      <c r="J30" s="12">
        <v>86</v>
      </c>
      <c r="K30" s="13">
        <v>0.2</v>
      </c>
      <c r="L30" s="12">
        <v>60.2</v>
      </c>
      <c r="M30" s="12">
        <f t="shared" si="2"/>
        <v>619.20000000000005</v>
      </c>
      <c r="N30" s="14">
        <f t="shared" si="3"/>
        <v>77.399999999999977</v>
      </c>
      <c r="O30" s="14" t="str">
        <f t="shared" si="4"/>
        <v>F</v>
      </c>
    </row>
    <row r="31" spans="1:15" ht="14.4" x14ac:dyDescent="0.3">
      <c r="A31" s="10">
        <v>45858</v>
      </c>
      <c r="B31" s="11" t="str">
        <f t="shared" si="0"/>
        <v>2025</v>
      </c>
      <c r="C31" s="11" t="str">
        <f t="shared" si="1"/>
        <v>Jul</v>
      </c>
      <c r="D31" s="12">
        <v>1428</v>
      </c>
      <c r="E31" s="12" t="s">
        <v>42</v>
      </c>
      <c r="F31" s="12" t="s">
        <v>38</v>
      </c>
      <c r="G31" s="12" t="s">
        <v>33</v>
      </c>
      <c r="H31" s="12" t="s">
        <v>31</v>
      </c>
      <c r="I31" s="12">
        <v>2</v>
      </c>
      <c r="J31" s="12">
        <v>165</v>
      </c>
      <c r="K31" s="13">
        <v>0.1</v>
      </c>
      <c r="L31" s="12">
        <v>115.5</v>
      </c>
      <c r="M31" s="12">
        <f t="shared" si="2"/>
        <v>297</v>
      </c>
      <c r="N31" s="14">
        <f t="shared" si="3"/>
        <v>66</v>
      </c>
      <c r="O31" s="14" t="str">
        <f t="shared" si="4"/>
        <v>F</v>
      </c>
    </row>
    <row r="32" spans="1:15" ht="14.4" x14ac:dyDescent="0.3">
      <c r="A32" s="10">
        <v>45857</v>
      </c>
      <c r="B32" s="11" t="str">
        <f t="shared" si="0"/>
        <v>2025</v>
      </c>
      <c r="C32" s="11" t="str">
        <f t="shared" si="1"/>
        <v>Jul</v>
      </c>
      <c r="D32" s="12">
        <v>1133</v>
      </c>
      <c r="E32" s="12" t="s">
        <v>37</v>
      </c>
      <c r="F32" s="12" t="s">
        <v>16</v>
      </c>
      <c r="G32" s="12" t="s">
        <v>17</v>
      </c>
      <c r="H32" s="12" t="s">
        <v>31</v>
      </c>
      <c r="I32" s="12">
        <v>8</v>
      </c>
      <c r="J32" s="12">
        <v>90</v>
      </c>
      <c r="K32" s="13">
        <v>0.2</v>
      </c>
      <c r="L32" s="12">
        <v>62.999999999999993</v>
      </c>
      <c r="M32" s="12">
        <f t="shared" si="2"/>
        <v>576</v>
      </c>
      <c r="N32" s="14">
        <f t="shared" si="3"/>
        <v>72.000000000000057</v>
      </c>
      <c r="O32" s="14" t="str">
        <f t="shared" si="4"/>
        <v>F</v>
      </c>
    </row>
    <row r="33" spans="1:15" ht="14.4" x14ac:dyDescent="0.3">
      <c r="A33" s="10">
        <v>45856</v>
      </c>
      <c r="B33" s="11" t="str">
        <f t="shared" si="0"/>
        <v>2025</v>
      </c>
      <c r="C33" s="11" t="str">
        <f t="shared" si="1"/>
        <v>Jul</v>
      </c>
      <c r="D33" s="12">
        <v>1152</v>
      </c>
      <c r="E33" s="12" t="s">
        <v>32</v>
      </c>
      <c r="F33" s="12" t="s">
        <v>38</v>
      </c>
      <c r="G33" s="12" t="s">
        <v>17</v>
      </c>
      <c r="H33" s="12" t="s">
        <v>18</v>
      </c>
      <c r="I33" s="12">
        <v>2</v>
      </c>
      <c r="J33" s="12">
        <v>276</v>
      </c>
      <c r="K33" s="13">
        <v>0.1</v>
      </c>
      <c r="L33" s="12">
        <v>193.2</v>
      </c>
      <c r="M33" s="12">
        <f t="shared" si="2"/>
        <v>496.8</v>
      </c>
      <c r="N33" s="14">
        <f t="shared" si="3"/>
        <v>110.40000000000003</v>
      </c>
      <c r="O33" s="14" t="str">
        <f t="shared" si="4"/>
        <v>F</v>
      </c>
    </row>
    <row r="34" spans="1:15" ht="14.4" x14ac:dyDescent="0.3">
      <c r="A34" s="10">
        <v>45856</v>
      </c>
      <c r="B34" s="11" t="str">
        <f t="shared" si="0"/>
        <v>2025</v>
      </c>
      <c r="C34" s="11" t="str">
        <f t="shared" si="1"/>
        <v>Jul</v>
      </c>
      <c r="D34" s="12">
        <v>1155</v>
      </c>
      <c r="E34" s="12" t="s">
        <v>35</v>
      </c>
      <c r="F34" s="12" t="s">
        <v>38</v>
      </c>
      <c r="G34" s="12" t="s">
        <v>33</v>
      </c>
      <c r="H34" s="12" t="s">
        <v>40</v>
      </c>
      <c r="I34" s="12">
        <v>2</v>
      </c>
      <c r="J34" s="12">
        <v>180</v>
      </c>
      <c r="K34" s="13">
        <v>0.15</v>
      </c>
      <c r="L34" s="12">
        <v>126</v>
      </c>
      <c r="M34" s="12">
        <f t="shared" si="2"/>
        <v>306</v>
      </c>
      <c r="N34" s="14">
        <f t="shared" si="3"/>
        <v>54</v>
      </c>
      <c r="O34" s="14" t="str">
        <f t="shared" si="4"/>
        <v>F</v>
      </c>
    </row>
    <row r="35" spans="1:15" ht="14.4" x14ac:dyDescent="0.3">
      <c r="A35" s="10">
        <v>45856</v>
      </c>
      <c r="B35" s="11" t="str">
        <f t="shared" si="0"/>
        <v>2025</v>
      </c>
      <c r="C35" s="11" t="str">
        <f t="shared" si="1"/>
        <v>Jul</v>
      </c>
      <c r="D35" s="12">
        <v>1305</v>
      </c>
      <c r="E35" s="12" t="s">
        <v>35</v>
      </c>
      <c r="F35" s="12" t="s">
        <v>24</v>
      </c>
      <c r="G35" s="12" t="s">
        <v>17</v>
      </c>
      <c r="H35" s="12" t="s">
        <v>22</v>
      </c>
      <c r="I35" s="12">
        <v>7</v>
      </c>
      <c r="J35" s="12">
        <v>177</v>
      </c>
      <c r="K35" s="13">
        <v>0.1</v>
      </c>
      <c r="L35" s="12">
        <v>123.9</v>
      </c>
      <c r="M35" s="12">
        <f t="shared" si="2"/>
        <v>1115.1000000000001</v>
      </c>
      <c r="N35" s="14">
        <f t="shared" si="3"/>
        <v>247.80000000000007</v>
      </c>
      <c r="O35" s="14" t="str">
        <f t="shared" si="4"/>
        <v>F</v>
      </c>
    </row>
    <row r="36" spans="1:15" ht="14.4" x14ac:dyDescent="0.3">
      <c r="A36" s="10">
        <v>45856</v>
      </c>
      <c r="B36" s="11" t="str">
        <f t="shared" si="0"/>
        <v>2025</v>
      </c>
      <c r="C36" s="11" t="str">
        <f t="shared" si="1"/>
        <v>Jul</v>
      </c>
      <c r="D36" s="12">
        <v>1308</v>
      </c>
      <c r="E36" s="12" t="s">
        <v>27</v>
      </c>
      <c r="F36" s="12" t="s">
        <v>16</v>
      </c>
      <c r="G36" s="12" t="s">
        <v>33</v>
      </c>
      <c r="H36" s="12" t="s">
        <v>31</v>
      </c>
      <c r="I36" s="12">
        <v>9</v>
      </c>
      <c r="J36" s="12">
        <v>409</v>
      </c>
      <c r="K36" s="13">
        <v>0.25</v>
      </c>
      <c r="L36" s="12">
        <v>286.3</v>
      </c>
      <c r="M36" s="12">
        <f t="shared" si="2"/>
        <v>2760.75</v>
      </c>
      <c r="N36" s="14">
        <f t="shared" si="3"/>
        <v>184.04999999999973</v>
      </c>
      <c r="O36" s="14" t="str">
        <f t="shared" si="4"/>
        <v>F</v>
      </c>
    </row>
    <row r="37" spans="1:15" ht="14.4" x14ac:dyDescent="0.3">
      <c r="A37" s="10">
        <v>45855</v>
      </c>
      <c r="B37" s="11" t="str">
        <f t="shared" si="0"/>
        <v>2025</v>
      </c>
      <c r="C37" s="11" t="str">
        <f t="shared" si="1"/>
        <v>Jul</v>
      </c>
      <c r="D37" s="12">
        <v>1119</v>
      </c>
      <c r="E37" s="12" t="s">
        <v>39</v>
      </c>
      <c r="F37" s="12" t="s">
        <v>20</v>
      </c>
      <c r="G37" s="12" t="s">
        <v>28</v>
      </c>
      <c r="H37" s="12" t="s">
        <v>26</v>
      </c>
      <c r="I37" s="12">
        <v>5</v>
      </c>
      <c r="J37" s="12">
        <v>58</v>
      </c>
      <c r="K37" s="13">
        <v>0.15</v>
      </c>
      <c r="L37" s="12">
        <v>40.599999999999987</v>
      </c>
      <c r="M37" s="12">
        <f t="shared" si="2"/>
        <v>246.5</v>
      </c>
      <c r="N37" s="14">
        <f t="shared" si="3"/>
        <v>43.500000000000057</v>
      </c>
      <c r="O37" s="14" t="str">
        <f t="shared" si="4"/>
        <v>F</v>
      </c>
    </row>
    <row r="38" spans="1:15" ht="14.4" x14ac:dyDescent="0.3">
      <c r="A38" s="10">
        <v>45851</v>
      </c>
      <c r="B38" s="11" t="str">
        <f t="shared" si="0"/>
        <v>2025</v>
      </c>
      <c r="C38" s="11" t="str">
        <f t="shared" si="1"/>
        <v>Jul</v>
      </c>
      <c r="D38" s="12">
        <v>1094</v>
      </c>
      <c r="E38" s="12" t="s">
        <v>27</v>
      </c>
      <c r="F38" s="12" t="s">
        <v>16</v>
      </c>
      <c r="G38" s="12" t="s">
        <v>21</v>
      </c>
      <c r="H38" s="12" t="s">
        <v>18</v>
      </c>
      <c r="I38" s="12">
        <v>5</v>
      </c>
      <c r="J38" s="12">
        <v>353</v>
      </c>
      <c r="K38" s="13">
        <v>0.05</v>
      </c>
      <c r="L38" s="12">
        <v>247.1</v>
      </c>
      <c r="M38" s="12">
        <f t="shared" si="2"/>
        <v>1676.75</v>
      </c>
      <c r="N38" s="14">
        <f t="shared" si="3"/>
        <v>441.25</v>
      </c>
      <c r="O38" s="14" t="str">
        <f t="shared" si="4"/>
        <v>F</v>
      </c>
    </row>
    <row r="39" spans="1:15" ht="14.4" x14ac:dyDescent="0.3">
      <c r="A39" s="10">
        <v>45851</v>
      </c>
      <c r="B39" s="11" t="str">
        <f t="shared" si="0"/>
        <v>2025</v>
      </c>
      <c r="C39" s="11" t="str">
        <f t="shared" si="1"/>
        <v>Jul</v>
      </c>
      <c r="D39" s="12">
        <v>1480</v>
      </c>
      <c r="E39" s="12" t="s">
        <v>15</v>
      </c>
      <c r="F39" s="12" t="s">
        <v>38</v>
      </c>
      <c r="G39" s="12" t="s">
        <v>17</v>
      </c>
      <c r="H39" s="12" t="s">
        <v>18</v>
      </c>
      <c r="I39" s="12">
        <v>5</v>
      </c>
      <c r="J39" s="12">
        <v>420</v>
      </c>
      <c r="K39" s="13">
        <v>0.1</v>
      </c>
      <c r="L39" s="12">
        <v>294</v>
      </c>
      <c r="M39" s="12">
        <f t="shared" si="2"/>
        <v>1890</v>
      </c>
      <c r="N39" s="14">
        <f t="shared" si="3"/>
        <v>420</v>
      </c>
      <c r="O39" s="14" t="str">
        <f t="shared" si="4"/>
        <v>F</v>
      </c>
    </row>
    <row r="40" spans="1:15" ht="14.4" x14ac:dyDescent="0.3">
      <c r="A40" s="10">
        <v>45850</v>
      </c>
      <c r="B40" s="11" t="str">
        <f t="shared" si="0"/>
        <v>2025</v>
      </c>
      <c r="C40" s="11" t="str">
        <f t="shared" si="1"/>
        <v>Jul</v>
      </c>
      <c r="D40" s="12">
        <v>1446</v>
      </c>
      <c r="E40" s="12" t="s">
        <v>35</v>
      </c>
      <c r="F40" s="12" t="s">
        <v>24</v>
      </c>
      <c r="G40" s="12" t="s">
        <v>28</v>
      </c>
      <c r="H40" s="12" t="s">
        <v>26</v>
      </c>
      <c r="I40" s="12">
        <v>4</v>
      </c>
      <c r="J40" s="12">
        <v>337</v>
      </c>
      <c r="K40" s="13">
        <v>0.15</v>
      </c>
      <c r="L40" s="12">
        <v>235.9</v>
      </c>
      <c r="M40" s="12">
        <f t="shared" si="2"/>
        <v>1145.8</v>
      </c>
      <c r="N40" s="14">
        <f t="shared" si="3"/>
        <v>202.19999999999993</v>
      </c>
      <c r="O40" s="14" t="str">
        <f t="shared" si="4"/>
        <v>F</v>
      </c>
    </row>
    <row r="41" spans="1:15" ht="14.4" x14ac:dyDescent="0.3">
      <c r="A41" s="10">
        <v>45849</v>
      </c>
      <c r="B41" s="11" t="str">
        <f t="shared" si="0"/>
        <v>2025</v>
      </c>
      <c r="C41" s="11" t="str">
        <f t="shared" si="1"/>
        <v>Jul</v>
      </c>
      <c r="D41" s="12">
        <v>1195</v>
      </c>
      <c r="E41" s="12" t="s">
        <v>39</v>
      </c>
      <c r="F41" s="12" t="s">
        <v>24</v>
      </c>
      <c r="G41" s="12" t="s">
        <v>21</v>
      </c>
      <c r="H41" s="12" t="s">
        <v>22</v>
      </c>
      <c r="I41" s="12">
        <v>4</v>
      </c>
      <c r="J41" s="12">
        <v>111</v>
      </c>
      <c r="K41" s="13">
        <v>0.25</v>
      </c>
      <c r="L41" s="12">
        <v>77.699999999999989</v>
      </c>
      <c r="M41" s="12">
        <f t="shared" si="2"/>
        <v>333</v>
      </c>
      <c r="N41" s="14">
        <f t="shared" si="3"/>
        <v>22.200000000000045</v>
      </c>
      <c r="O41" s="14" t="str">
        <f t="shared" si="4"/>
        <v>F</v>
      </c>
    </row>
    <row r="42" spans="1:15" ht="14.4" x14ac:dyDescent="0.3">
      <c r="A42" s="10">
        <v>45849</v>
      </c>
      <c r="B42" s="11" t="str">
        <f t="shared" si="0"/>
        <v>2025</v>
      </c>
      <c r="C42" s="11" t="str">
        <f t="shared" si="1"/>
        <v>Jul</v>
      </c>
      <c r="D42" s="12">
        <v>1382</v>
      </c>
      <c r="E42" s="12" t="s">
        <v>42</v>
      </c>
      <c r="F42" s="12" t="s">
        <v>38</v>
      </c>
      <c r="G42" s="12" t="s">
        <v>33</v>
      </c>
      <c r="H42" s="12" t="s">
        <v>18</v>
      </c>
      <c r="I42" s="12">
        <v>8</v>
      </c>
      <c r="J42" s="12">
        <v>492</v>
      </c>
      <c r="K42" s="13">
        <v>0.2</v>
      </c>
      <c r="L42" s="12">
        <v>344.4</v>
      </c>
      <c r="M42" s="12">
        <f t="shared" si="2"/>
        <v>3148.8</v>
      </c>
      <c r="N42" s="14">
        <f t="shared" si="3"/>
        <v>393.60000000000036</v>
      </c>
      <c r="O42" s="14" t="str">
        <f t="shared" si="4"/>
        <v>F</v>
      </c>
    </row>
    <row r="43" spans="1:15" ht="14.4" x14ac:dyDescent="0.3">
      <c r="A43" s="10">
        <v>45848</v>
      </c>
      <c r="B43" s="11" t="str">
        <f t="shared" si="0"/>
        <v>2025</v>
      </c>
      <c r="C43" s="11" t="str">
        <f t="shared" si="1"/>
        <v>Jul</v>
      </c>
      <c r="D43" s="12">
        <v>1359</v>
      </c>
      <c r="E43" s="12" t="s">
        <v>19</v>
      </c>
      <c r="F43" s="12" t="s">
        <v>38</v>
      </c>
      <c r="G43" s="12" t="s">
        <v>33</v>
      </c>
      <c r="H43" s="12" t="s">
        <v>26</v>
      </c>
      <c r="I43" s="12">
        <v>5</v>
      </c>
      <c r="J43" s="12">
        <v>415</v>
      </c>
      <c r="K43" s="13">
        <v>0.05</v>
      </c>
      <c r="L43" s="12">
        <v>290.5</v>
      </c>
      <c r="M43" s="12">
        <f t="shared" si="2"/>
        <v>1971.25</v>
      </c>
      <c r="N43" s="14">
        <f t="shared" si="3"/>
        <v>518.75</v>
      </c>
      <c r="O43" s="14" t="str">
        <f t="shared" si="4"/>
        <v>F</v>
      </c>
    </row>
    <row r="44" spans="1:15" ht="14.4" x14ac:dyDescent="0.3">
      <c r="A44" s="10">
        <v>45847</v>
      </c>
      <c r="B44" s="11" t="str">
        <f t="shared" si="0"/>
        <v>2025</v>
      </c>
      <c r="C44" s="11" t="str">
        <f t="shared" si="1"/>
        <v>Jul</v>
      </c>
      <c r="D44" s="12">
        <v>1302</v>
      </c>
      <c r="E44" s="12" t="s">
        <v>23</v>
      </c>
      <c r="F44" s="12" t="s">
        <v>20</v>
      </c>
      <c r="G44" s="12" t="s">
        <v>33</v>
      </c>
      <c r="H44" s="12" t="s">
        <v>40</v>
      </c>
      <c r="I44" s="12">
        <v>6</v>
      </c>
      <c r="J44" s="12">
        <v>357</v>
      </c>
      <c r="K44" s="13">
        <v>0</v>
      </c>
      <c r="L44" s="12">
        <v>249.9</v>
      </c>
      <c r="M44" s="12">
        <f t="shared" si="2"/>
        <v>2142</v>
      </c>
      <c r="N44" s="14">
        <f t="shared" si="3"/>
        <v>642.59999999999991</v>
      </c>
      <c r="O44" s="14" t="str">
        <f t="shared" si="4"/>
        <v>F</v>
      </c>
    </row>
    <row r="45" spans="1:15" ht="14.4" x14ac:dyDescent="0.3">
      <c r="A45" s="10">
        <v>45845</v>
      </c>
      <c r="B45" s="11" t="str">
        <f t="shared" si="0"/>
        <v>2025</v>
      </c>
      <c r="C45" s="11" t="str">
        <f t="shared" si="1"/>
        <v>Jul</v>
      </c>
      <c r="D45" s="12">
        <v>1200</v>
      </c>
      <c r="E45" s="12" t="s">
        <v>23</v>
      </c>
      <c r="F45" s="12" t="s">
        <v>16</v>
      </c>
      <c r="G45" s="12" t="s">
        <v>17</v>
      </c>
      <c r="H45" s="12" t="s">
        <v>29</v>
      </c>
      <c r="I45" s="12">
        <v>3</v>
      </c>
      <c r="J45" s="12">
        <v>157</v>
      </c>
      <c r="K45" s="13">
        <v>0.15</v>
      </c>
      <c r="L45" s="12">
        <v>109.9</v>
      </c>
      <c r="M45" s="12">
        <f t="shared" si="2"/>
        <v>400.34999999999997</v>
      </c>
      <c r="N45" s="14">
        <f t="shared" si="3"/>
        <v>70.64999999999992</v>
      </c>
      <c r="O45" s="14" t="str">
        <f t="shared" si="4"/>
        <v>F</v>
      </c>
    </row>
    <row r="46" spans="1:15" ht="14.4" x14ac:dyDescent="0.3">
      <c r="A46" s="10">
        <v>45843</v>
      </c>
      <c r="B46" s="11" t="str">
        <f t="shared" si="0"/>
        <v>2025</v>
      </c>
      <c r="C46" s="11" t="str">
        <f t="shared" si="1"/>
        <v>Jul</v>
      </c>
      <c r="D46" s="12">
        <v>1018</v>
      </c>
      <c r="E46" s="12" t="s">
        <v>23</v>
      </c>
      <c r="F46" s="12" t="s">
        <v>38</v>
      </c>
      <c r="G46" s="12" t="s">
        <v>25</v>
      </c>
      <c r="H46" s="12" t="s">
        <v>31</v>
      </c>
      <c r="I46" s="12">
        <v>6</v>
      </c>
      <c r="J46" s="12">
        <v>180</v>
      </c>
      <c r="K46" s="13">
        <v>0.15</v>
      </c>
      <c r="L46" s="12">
        <v>126</v>
      </c>
      <c r="M46" s="12">
        <f t="shared" si="2"/>
        <v>918</v>
      </c>
      <c r="N46" s="14">
        <f t="shared" si="3"/>
        <v>162</v>
      </c>
      <c r="O46" s="14" t="str">
        <f t="shared" si="4"/>
        <v>F</v>
      </c>
    </row>
    <row r="47" spans="1:15" ht="14.4" x14ac:dyDescent="0.3">
      <c r="A47" s="10">
        <v>45842</v>
      </c>
      <c r="B47" s="11" t="str">
        <f t="shared" si="0"/>
        <v>2025</v>
      </c>
      <c r="C47" s="11" t="str">
        <f t="shared" si="1"/>
        <v>Jul</v>
      </c>
      <c r="D47" s="12">
        <v>1191</v>
      </c>
      <c r="E47" s="12" t="s">
        <v>35</v>
      </c>
      <c r="F47" s="12" t="s">
        <v>38</v>
      </c>
      <c r="G47" s="12" t="s">
        <v>21</v>
      </c>
      <c r="H47" s="12" t="s">
        <v>36</v>
      </c>
      <c r="I47" s="12">
        <v>9</v>
      </c>
      <c r="J47" s="12">
        <v>333</v>
      </c>
      <c r="K47" s="13">
        <v>0</v>
      </c>
      <c r="L47" s="12">
        <v>233.1</v>
      </c>
      <c r="M47" s="12">
        <f t="shared" si="2"/>
        <v>2997</v>
      </c>
      <c r="N47" s="14">
        <f t="shared" si="3"/>
        <v>899.09999999999991</v>
      </c>
      <c r="O47" s="14" t="str">
        <f t="shared" si="4"/>
        <v>F</v>
      </c>
    </row>
    <row r="48" spans="1:15" ht="14.4" x14ac:dyDescent="0.3">
      <c r="A48" s="10">
        <v>45842</v>
      </c>
      <c r="B48" s="11" t="str">
        <f t="shared" si="0"/>
        <v>2025</v>
      </c>
      <c r="C48" s="11" t="str">
        <f t="shared" si="1"/>
        <v>Jul</v>
      </c>
      <c r="D48" s="12">
        <v>1051</v>
      </c>
      <c r="E48" s="12" t="s">
        <v>15</v>
      </c>
      <c r="F48" s="12" t="s">
        <v>20</v>
      </c>
      <c r="G48" s="12" t="s">
        <v>33</v>
      </c>
      <c r="H48" s="12" t="s">
        <v>36</v>
      </c>
      <c r="I48" s="12">
        <v>2</v>
      </c>
      <c r="J48" s="12">
        <v>184</v>
      </c>
      <c r="K48" s="13">
        <v>0.05</v>
      </c>
      <c r="L48" s="12">
        <v>128.80000000000001</v>
      </c>
      <c r="M48" s="12">
        <f t="shared" si="2"/>
        <v>349.59999999999997</v>
      </c>
      <c r="N48" s="14">
        <f t="shared" si="3"/>
        <v>91.999999999999943</v>
      </c>
      <c r="O48" s="14" t="str">
        <f t="shared" si="4"/>
        <v>F</v>
      </c>
    </row>
    <row r="49" spans="1:15" ht="14.4" x14ac:dyDescent="0.3">
      <c r="A49" s="10">
        <v>45841</v>
      </c>
      <c r="B49" s="11" t="str">
        <f t="shared" si="0"/>
        <v>2025</v>
      </c>
      <c r="C49" s="11" t="str">
        <f t="shared" si="1"/>
        <v>Jul</v>
      </c>
      <c r="D49" s="12">
        <v>1372</v>
      </c>
      <c r="E49" s="12" t="s">
        <v>35</v>
      </c>
      <c r="F49" s="12" t="s">
        <v>16</v>
      </c>
      <c r="G49" s="12" t="s">
        <v>34</v>
      </c>
      <c r="H49" s="12" t="s">
        <v>26</v>
      </c>
      <c r="I49" s="12">
        <v>2</v>
      </c>
      <c r="J49" s="12">
        <v>353</v>
      </c>
      <c r="K49" s="13">
        <v>0</v>
      </c>
      <c r="L49" s="12">
        <v>247.1</v>
      </c>
      <c r="M49" s="12">
        <f t="shared" si="2"/>
        <v>706</v>
      </c>
      <c r="N49" s="14">
        <f t="shared" si="3"/>
        <v>211.8</v>
      </c>
      <c r="O49" s="14" t="str">
        <f t="shared" si="4"/>
        <v>F</v>
      </c>
    </row>
    <row r="50" spans="1:15" ht="14.4" x14ac:dyDescent="0.3">
      <c r="A50" s="10">
        <v>45841</v>
      </c>
      <c r="B50" s="11" t="str">
        <f t="shared" si="0"/>
        <v>2025</v>
      </c>
      <c r="C50" s="11" t="str">
        <f t="shared" si="1"/>
        <v>Jul</v>
      </c>
      <c r="D50" s="12">
        <v>1451</v>
      </c>
      <c r="E50" s="12" t="s">
        <v>27</v>
      </c>
      <c r="F50" s="12" t="s">
        <v>24</v>
      </c>
      <c r="G50" s="12" t="s">
        <v>17</v>
      </c>
      <c r="H50" s="12" t="s">
        <v>18</v>
      </c>
      <c r="I50" s="12">
        <v>6</v>
      </c>
      <c r="J50" s="12">
        <v>176</v>
      </c>
      <c r="K50" s="13">
        <v>0.15</v>
      </c>
      <c r="L50" s="12">
        <v>123.2</v>
      </c>
      <c r="M50" s="12">
        <f t="shared" si="2"/>
        <v>897.6</v>
      </c>
      <c r="N50" s="14">
        <f t="shared" si="3"/>
        <v>158.39999999999998</v>
      </c>
      <c r="O50" s="14" t="str">
        <f t="shared" si="4"/>
        <v>F</v>
      </c>
    </row>
    <row r="51" spans="1:15" ht="14.4" x14ac:dyDescent="0.3">
      <c r="A51" s="10">
        <v>45840</v>
      </c>
      <c r="B51" s="11" t="str">
        <f t="shared" si="0"/>
        <v>2025</v>
      </c>
      <c r="C51" s="11" t="str">
        <f t="shared" si="1"/>
        <v>Jul</v>
      </c>
      <c r="D51" s="12">
        <v>1396</v>
      </c>
      <c r="E51" s="12" t="s">
        <v>15</v>
      </c>
      <c r="F51" s="12" t="s">
        <v>24</v>
      </c>
      <c r="G51" s="12" t="s">
        <v>34</v>
      </c>
      <c r="H51" s="12" t="s">
        <v>31</v>
      </c>
      <c r="I51" s="12">
        <v>10</v>
      </c>
      <c r="J51" s="12">
        <v>275</v>
      </c>
      <c r="K51" s="13">
        <v>0.3</v>
      </c>
      <c r="L51" s="12">
        <v>192.5</v>
      </c>
      <c r="M51" s="12">
        <f t="shared" si="2"/>
        <v>1924.9999999999998</v>
      </c>
      <c r="N51" s="14">
        <f t="shared" si="3"/>
        <v>0</v>
      </c>
      <c r="O51" s="14" t="str">
        <f t="shared" si="4"/>
        <v>F</v>
      </c>
    </row>
    <row r="52" spans="1:15" ht="14.4" x14ac:dyDescent="0.3">
      <c r="A52" s="10">
        <v>45838</v>
      </c>
      <c r="B52" s="11" t="str">
        <f t="shared" si="0"/>
        <v>2025</v>
      </c>
      <c r="C52" s="11" t="str">
        <f t="shared" si="1"/>
        <v>Jun</v>
      </c>
      <c r="D52" s="12">
        <v>1312</v>
      </c>
      <c r="E52" s="12" t="s">
        <v>37</v>
      </c>
      <c r="F52" s="12" t="s">
        <v>16</v>
      </c>
      <c r="G52" s="12" t="s">
        <v>25</v>
      </c>
      <c r="H52" s="12" t="s">
        <v>40</v>
      </c>
      <c r="I52" s="12">
        <v>3</v>
      </c>
      <c r="J52" s="12">
        <v>483</v>
      </c>
      <c r="K52" s="13">
        <v>0</v>
      </c>
      <c r="L52" s="12">
        <v>338.1</v>
      </c>
      <c r="M52" s="12">
        <f t="shared" si="2"/>
        <v>1449</v>
      </c>
      <c r="N52" s="14">
        <f t="shared" si="3"/>
        <v>434.69999999999993</v>
      </c>
      <c r="O52" s="14" t="str">
        <f t="shared" si="4"/>
        <v>F</v>
      </c>
    </row>
    <row r="53" spans="1:15" ht="14.4" x14ac:dyDescent="0.3">
      <c r="A53" s="10">
        <v>45838</v>
      </c>
      <c r="B53" s="11" t="str">
        <f t="shared" si="0"/>
        <v>2025</v>
      </c>
      <c r="C53" s="11" t="str">
        <f t="shared" si="1"/>
        <v>Jun</v>
      </c>
      <c r="D53" s="12">
        <v>1165</v>
      </c>
      <c r="E53" s="12" t="s">
        <v>42</v>
      </c>
      <c r="F53" s="12" t="s">
        <v>20</v>
      </c>
      <c r="G53" s="12" t="s">
        <v>28</v>
      </c>
      <c r="H53" s="12" t="s">
        <v>26</v>
      </c>
      <c r="I53" s="12">
        <v>9</v>
      </c>
      <c r="J53" s="12">
        <v>64</v>
      </c>
      <c r="K53" s="13">
        <v>0.2</v>
      </c>
      <c r="L53" s="12">
        <v>44.8</v>
      </c>
      <c r="M53" s="12">
        <f t="shared" si="2"/>
        <v>460.8</v>
      </c>
      <c r="N53" s="14">
        <f t="shared" si="3"/>
        <v>57.600000000000023</v>
      </c>
      <c r="O53" s="14" t="str">
        <f t="shared" si="4"/>
        <v>F</v>
      </c>
    </row>
    <row r="54" spans="1:15" ht="14.4" x14ac:dyDescent="0.3">
      <c r="A54" s="10">
        <v>45838</v>
      </c>
      <c r="B54" s="11" t="str">
        <f t="shared" si="0"/>
        <v>2025</v>
      </c>
      <c r="C54" s="11" t="str">
        <f t="shared" si="1"/>
        <v>Jun</v>
      </c>
      <c r="D54" s="12">
        <v>1261</v>
      </c>
      <c r="E54" s="12" t="s">
        <v>15</v>
      </c>
      <c r="F54" s="12" t="s">
        <v>20</v>
      </c>
      <c r="G54" s="12" t="s">
        <v>21</v>
      </c>
      <c r="H54" s="12" t="s">
        <v>18</v>
      </c>
      <c r="I54" s="12">
        <v>6</v>
      </c>
      <c r="J54" s="12">
        <v>179</v>
      </c>
      <c r="K54" s="13">
        <v>0.2</v>
      </c>
      <c r="L54" s="12">
        <v>125.3</v>
      </c>
      <c r="M54" s="12">
        <f t="shared" si="2"/>
        <v>859.2</v>
      </c>
      <c r="N54" s="14">
        <f t="shared" si="3"/>
        <v>107.40000000000009</v>
      </c>
      <c r="O54" s="14" t="str">
        <f t="shared" si="4"/>
        <v>F</v>
      </c>
    </row>
    <row r="55" spans="1:15" ht="14.4" x14ac:dyDescent="0.3">
      <c r="A55" s="10">
        <v>45838</v>
      </c>
      <c r="B55" s="11" t="str">
        <f t="shared" si="0"/>
        <v>2025</v>
      </c>
      <c r="C55" s="11" t="str">
        <f t="shared" si="1"/>
        <v>Jun</v>
      </c>
      <c r="D55" s="12">
        <v>1401</v>
      </c>
      <c r="E55" s="12" t="s">
        <v>39</v>
      </c>
      <c r="F55" s="12" t="s">
        <v>20</v>
      </c>
      <c r="G55" s="12" t="s">
        <v>34</v>
      </c>
      <c r="H55" s="12" t="s">
        <v>36</v>
      </c>
      <c r="I55" s="12">
        <v>9</v>
      </c>
      <c r="J55" s="12">
        <v>416</v>
      </c>
      <c r="K55" s="13">
        <v>0.3</v>
      </c>
      <c r="L55" s="12">
        <v>291.2</v>
      </c>
      <c r="M55" s="12">
        <f t="shared" si="2"/>
        <v>2620.7999999999997</v>
      </c>
      <c r="N55" s="14">
        <f t="shared" si="3"/>
        <v>0</v>
      </c>
      <c r="O55" s="14" t="str">
        <f t="shared" si="4"/>
        <v>F</v>
      </c>
    </row>
    <row r="56" spans="1:15" ht="14.4" x14ac:dyDescent="0.3">
      <c r="A56" s="10">
        <v>45835</v>
      </c>
      <c r="B56" s="11" t="str">
        <f t="shared" si="0"/>
        <v>2025</v>
      </c>
      <c r="C56" s="11" t="str">
        <f t="shared" si="1"/>
        <v>Jun</v>
      </c>
      <c r="D56" s="12">
        <v>1170</v>
      </c>
      <c r="E56" s="12" t="s">
        <v>42</v>
      </c>
      <c r="F56" s="12" t="s">
        <v>16</v>
      </c>
      <c r="G56" s="12" t="s">
        <v>33</v>
      </c>
      <c r="H56" s="12" t="s">
        <v>40</v>
      </c>
      <c r="I56" s="12">
        <v>2</v>
      </c>
      <c r="J56" s="12">
        <v>112</v>
      </c>
      <c r="K56" s="13">
        <v>0</v>
      </c>
      <c r="L56" s="12">
        <v>78.399999999999991</v>
      </c>
      <c r="M56" s="12">
        <f t="shared" si="2"/>
        <v>224</v>
      </c>
      <c r="N56" s="14">
        <f t="shared" si="3"/>
        <v>67.200000000000017</v>
      </c>
      <c r="O56" s="14" t="str">
        <f t="shared" si="4"/>
        <v>F</v>
      </c>
    </row>
    <row r="57" spans="1:15" ht="14.4" x14ac:dyDescent="0.3">
      <c r="A57" s="10">
        <v>45832</v>
      </c>
      <c r="B57" s="11" t="str">
        <f t="shared" si="0"/>
        <v>2025</v>
      </c>
      <c r="C57" s="11" t="str">
        <f t="shared" si="1"/>
        <v>Jun</v>
      </c>
      <c r="D57" s="12">
        <v>1263</v>
      </c>
      <c r="E57" s="12" t="s">
        <v>42</v>
      </c>
      <c r="F57" s="12" t="s">
        <v>16</v>
      </c>
      <c r="G57" s="12" t="s">
        <v>33</v>
      </c>
      <c r="H57" s="12" t="s">
        <v>40</v>
      </c>
      <c r="I57" s="12">
        <v>5</v>
      </c>
      <c r="J57" s="12">
        <v>221</v>
      </c>
      <c r="K57" s="13">
        <v>0.2</v>
      </c>
      <c r="L57" s="12">
        <v>154.69999999999999</v>
      </c>
      <c r="M57" s="12">
        <f t="shared" si="2"/>
        <v>884</v>
      </c>
      <c r="N57" s="14">
        <f t="shared" si="3"/>
        <v>110.5</v>
      </c>
      <c r="O57" s="14" t="str">
        <f t="shared" si="4"/>
        <v>F</v>
      </c>
    </row>
    <row r="58" spans="1:15" ht="14.4" x14ac:dyDescent="0.3">
      <c r="A58" s="10">
        <v>45831</v>
      </c>
      <c r="B58" s="11" t="str">
        <f t="shared" si="0"/>
        <v>2025</v>
      </c>
      <c r="C58" s="11" t="str">
        <f t="shared" si="1"/>
        <v>Jun</v>
      </c>
      <c r="D58" s="12">
        <v>1254</v>
      </c>
      <c r="E58" s="12" t="s">
        <v>37</v>
      </c>
      <c r="F58" s="12" t="s">
        <v>38</v>
      </c>
      <c r="G58" s="12" t="s">
        <v>25</v>
      </c>
      <c r="H58" s="12" t="s">
        <v>36</v>
      </c>
      <c r="I58" s="12">
        <v>1</v>
      </c>
      <c r="J58" s="12">
        <v>103</v>
      </c>
      <c r="K58" s="13">
        <v>0.2</v>
      </c>
      <c r="L58" s="12">
        <v>72.099999999999994</v>
      </c>
      <c r="M58" s="12">
        <f t="shared" si="2"/>
        <v>82.4</v>
      </c>
      <c r="N58" s="14">
        <f t="shared" si="3"/>
        <v>10.300000000000011</v>
      </c>
      <c r="O58" s="14" t="str">
        <f t="shared" si="4"/>
        <v>F</v>
      </c>
    </row>
    <row r="59" spans="1:15" ht="14.4" x14ac:dyDescent="0.3">
      <c r="A59" s="10">
        <v>45831</v>
      </c>
      <c r="B59" s="11" t="str">
        <f t="shared" si="0"/>
        <v>2025</v>
      </c>
      <c r="C59" s="11" t="str">
        <f t="shared" si="1"/>
        <v>Jun</v>
      </c>
      <c r="D59" s="12">
        <v>1415</v>
      </c>
      <c r="E59" s="12" t="s">
        <v>23</v>
      </c>
      <c r="F59" s="12" t="s">
        <v>20</v>
      </c>
      <c r="G59" s="12" t="s">
        <v>34</v>
      </c>
      <c r="H59" s="12" t="s">
        <v>31</v>
      </c>
      <c r="I59" s="12">
        <v>2</v>
      </c>
      <c r="J59" s="12">
        <v>422</v>
      </c>
      <c r="K59" s="13">
        <v>0</v>
      </c>
      <c r="L59" s="12">
        <v>295.39999999999998</v>
      </c>
      <c r="M59" s="12">
        <f t="shared" si="2"/>
        <v>844</v>
      </c>
      <c r="N59" s="14">
        <f t="shared" si="3"/>
        <v>253.20000000000005</v>
      </c>
      <c r="O59" s="14" t="str">
        <f t="shared" si="4"/>
        <v>F</v>
      </c>
    </row>
    <row r="60" spans="1:15" ht="14.4" x14ac:dyDescent="0.3">
      <c r="A60" s="10">
        <v>45828</v>
      </c>
      <c r="B60" s="11" t="str">
        <f t="shared" si="0"/>
        <v>2025</v>
      </c>
      <c r="C60" s="11" t="str">
        <f t="shared" si="1"/>
        <v>Jun</v>
      </c>
      <c r="D60" s="12">
        <v>1248</v>
      </c>
      <c r="E60" s="12" t="s">
        <v>19</v>
      </c>
      <c r="F60" s="12" t="s">
        <v>16</v>
      </c>
      <c r="G60" s="12" t="s">
        <v>34</v>
      </c>
      <c r="H60" s="12" t="s">
        <v>36</v>
      </c>
      <c r="I60" s="12">
        <v>5</v>
      </c>
      <c r="J60" s="12">
        <v>130</v>
      </c>
      <c r="K60" s="13">
        <v>0.15</v>
      </c>
      <c r="L60" s="12">
        <v>91</v>
      </c>
      <c r="M60" s="12">
        <f t="shared" si="2"/>
        <v>552.5</v>
      </c>
      <c r="N60" s="14">
        <f t="shared" si="3"/>
        <v>97.5</v>
      </c>
      <c r="O60" s="14" t="str">
        <f t="shared" si="4"/>
        <v>F</v>
      </c>
    </row>
    <row r="61" spans="1:15" ht="14.4" x14ac:dyDescent="0.3">
      <c r="A61" s="10">
        <v>45824</v>
      </c>
      <c r="B61" s="11" t="str">
        <f t="shared" si="0"/>
        <v>2025</v>
      </c>
      <c r="C61" s="11" t="str">
        <f t="shared" si="1"/>
        <v>Jun</v>
      </c>
      <c r="D61" s="12">
        <v>1072</v>
      </c>
      <c r="E61" s="12" t="s">
        <v>19</v>
      </c>
      <c r="F61" s="12" t="s">
        <v>16</v>
      </c>
      <c r="G61" s="12" t="s">
        <v>34</v>
      </c>
      <c r="H61" s="12" t="s">
        <v>31</v>
      </c>
      <c r="I61" s="12">
        <v>2</v>
      </c>
      <c r="J61" s="12">
        <v>84</v>
      </c>
      <c r="K61" s="13">
        <v>0.2</v>
      </c>
      <c r="L61" s="12">
        <v>58.8</v>
      </c>
      <c r="M61" s="12">
        <f t="shared" si="2"/>
        <v>134.4</v>
      </c>
      <c r="N61" s="14">
        <f t="shared" si="3"/>
        <v>16.800000000000011</v>
      </c>
      <c r="O61" s="14" t="str">
        <f t="shared" si="4"/>
        <v>F</v>
      </c>
    </row>
    <row r="62" spans="1:15" ht="14.4" x14ac:dyDescent="0.3">
      <c r="A62" s="10">
        <v>45823</v>
      </c>
      <c r="B62" s="11" t="str">
        <f t="shared" si="0"/>
        <v>2025</v>
      </c>
      <c r="C62" s="11" t="str">
        <f t="shared" si="1"/>
        <v>Jun</v>
      </c>
      <c r="D62" s="12">
        <v>1287</v>
      </c>
      <c r="E62" s="12" t="s">
        <v>23</v>
      </c>
      <c r="F62" s="12" t="s">
        <v>24</v>
      </c>
      <c r="G62" s="12" t="s">
        <v>28</v>
      </c>
      <c r="H62" s="12" t="s">
        <v>31</v>
      </c>
      <c r="I62" s="12">
        <v>2</v>
      </c>
      <c r="J62" s="12">
        <v>173</v>
      </c>
      <c r="K62" s="13">
        <v>0.05</v>
      </c>
      <c r="L62" s="12">
        <v>121.1</v>
      </c>
      <c r="M62" s="12">
        <f t="shared" si="2"/>
        <v>328.7</v>
      </c>
      <c r="N62" s="14">
        <f t="shared" si="3"/>
        <v>86.5</v>
      </c>
      <c r="O62" s="14" t="str">
        <f t="shared" si="4"/>
        <v>F</v>
      </c>
    </row>
    <row r="63" spans="1:15" ht="14.4" x14ac:dyDescent="0.3">
      <c r="A63" s="10">
        <v>45823</v>
      </c>
      <c r="B63" s="11" t="str">
        <f t="shared" si="0"/>
        <v>2025</v>
      </c>
      <c r="C63" s="11" t="str">
        <f t="shared" si="1"/>
        <v>Jun</v>
      </c>
      <c r="D63" s="12">
        <v>1343</v>
      </c>
      <c r="E63" s="12" t="s">
        <v>15</v>
      </c>
      <c r="F63" s="12" t="s">
        <v>20</v>
      </c>
      <c r="G63" s="12" t="s">
        <v>28</v>
      </c>
      <c r="H63" s="12" t="s">
        <v>26</v>
      </c>
      <c r="I63" s="12">
        <v>9</v>
      </c>
      <c r="J63" s="12">
        <v>457</v>
      </c>
      <c r="K63" s="13">
        <v>0.2</v>
      </c>
      <c r="L63" s="12">
        <v>319.89999999999998</v>
      </c>
      <c r="M63" s="12">
        <f t="shared" si="2"/>
        <v>3290.4</v>
      </c>
      <c r="N63" s="14">
        <f t="shared" si="3"/>
        <v>411.30000000000018</v>
      </c>
      <c r="O63" s="14" t="str">
        <f t="shared" si="4"/>
        <v>F</v>
      </c>
    </row>
    <row r="64" spans="1:15" ht="14.4" x14ac:dyDescent="0.3">
      <c r="A64" s="10">
        <v>45822</v>
      </c>
      <c r="B64" s="11" t="str">
        <f t="shared" si="0"/>
        <v>2025</v>
      </c>
      <c r="C64" s="11" t="str">
        <f t="shared" si="1"/>
        <v>Jun</v>
      </c>
      <c r="D64" s="12">
        <v>1298</v>
      </c>
      <c r="E64" s="12" t="s">
        <v>42</v>
      </c>
      <c r="F64" s="12" t="s">
        <v>24</v>
      </c>
      <c r="G64" s="12" t="s">
        <v>34</v>
      </c>
      <c r="H64" s="12" t="s">
        <v>22</v>
      </c>
      <c r="I64" s="12">
        <v>8</v>
      </c>
      <c r="J64" s="12">
        <v>196</v>
      </c>
      <c r="K64" s="13">
        <v>0.15</v>
      </c>
      <c r="L64" s="12">
        <v>137.19999999999999</v>
      </c>
      <c r="M64" s="12">
        <f t="shared" si="2"/>
        <v>1332.8</v>
      </c>
      <c r="N64" s="14">
        <f t="shared" si="3"/>
        <v>235.20000000000005</v>
      </c>
      <c r="O64" s="14" t="str">
        <f t="shared" si="4"/>
        <v>F</v>
      </c>
    </row>
    <row r="65" spans="1:15" ht="14.4" x14ac:dyDescent="0.3">
      <c r="A65" s="10">
        <v>45817</v>
      </c>
      <c r="B65" s="11" t="str">
        <f t="shared" si="0"/>
        <v>2025</v>
      </c>
      <c r="C65" s="11" t="str">
        <f t="shared" si="1"/>
        <v>Jun</v>
      </c>
      <c r="D65" s="12">
        <v>1266</v>
      </c>
      <c r="E65" s="12" t="s">
        <v>35</v>
      </c>
      <c r="F65" s="12" t="s">
        <v>38</v>
      </c>
      <c r="G65" s="12" t="s">
        <v>17</v>
      </c>
      <c r="H65" s="12" t="s">
        <v>18</v>
      </c>
      <c r="I65" s="12">
        <v>8</v>
      </c>
      <c r="J65" s="12">
        <v>247</v>
      </c>
      <c r="K65" s="13">
        <v>0.2</v>
      </c>
      <c r="L65" s="12">
        <v>172.9</v>
      </c>
      <c r="M65" s="12">
        <f t="shared" si="2"/>
        <v>1580.8000000000002</v>
      </c>
      <c r="N65" s="14">
        <f t="shared" si="3"/>
        <v>197.60000000000014</v>
      </c>
      <c r="O65" s="14" t="str">
        <f t="shared" si="4"/>
        <v>F</v>
      </c>
    </row>
    <row r="66" spans="1:15" ht="14.4" x14ac:dyDescent="0.3">
      <c r="A66" s="10">
        <v>45814</v>
      </c>
      <c r="B66" s="11" t="str">
        <f t="shared" ref="B66:B129" si="5">TEXT(A66,"yyyy")</f>
        <v>2025</v>
      </c>
      <c r="C66" s="11" t="str">
        <f t="shared" ref="C66:C129" si="6">TEXT(A66,"mmm")</f>
        <v>Jun</v>
      </c>
      <c r="D66" s="12">
        <v>1237</v>
      </c>
      <c r="E66" s="12" t="s">
        <v>37</v>
      </c>
      <c r="F66" s="12" t="s">
        <v>16</v>
      </c>
      <c r="G66" s="12" t="s">
        <v>34</v>
      </c>
      <c r="H66" s="12" t="s">
        <v>36</v>
      </c>
      <c r="I66" s="12">
        <v>3</v>
      </c>
      <c r="J66" s="12">
        <v>367</v>
      </c>
      <c r="K66" s="13">
        <v>0.1</v>
      </c>
      <c r="L66" s="12">
        <v>256.89999999999998</v>
      </c>
      <c r="M66" s="12">
        <f t="shared" ref="M66:M129" si="7">I66*J66*(1-K66)</f>
        <v>990.9</v>
      </c>
      <c r="N66" s="14">
        <f t="shared" ref="N66:N129" si="8">M66-L66*I66</f>
        <v>220.20000000000005</v>
      </c>
      <c r="O66" s="14" t="str">
        <f t="shared" ref="O66:O129" si="9">IF(COUNTIF(E66:E565,E66)&gt;1,"F","O")</f>
        <v>F</v>
      </c>
    </row>
    <row r="67" spans="1:15" ht="14.4" x14ac:dyDescent="0.3">
      <c r="A67" s="10">
        <v>45814</v>
      </c>
      <c r="B67" s="11" t="str">
        <f t="shared" si="5"/>
        <v>2025</v>
      </c>
      <c r="C67" s="11" t="str">
        <f t="shared" si="6"/>
        <v>Jun</v>
      </c>
      <c r="D67" s="12">
        <v>1454</v>
      </c>
      <c r="E67" s="12" t="s">
        <v>19</v>
      </c>
      <c r="F67" s="12" t="s">
        <v>16</v>
      </c>
      <c r="G67" s="12" t="s">
        <v>21</v>
      </c>
      <c r="H67" s="12" t="s">
        <v>36</v>
      </c>
      <c r="I67" s="12">
        <v>7</v>
      </c>
      <c r="J67" s="12">
        <v>322</v>
      </c>
      <c r="K67" s="13">
        <v>0.05</v>
      </c>
      <c r="L67" s="12">
        <v>225.4</v>
      </c>
      <c r="M67" s="12">
        <f t="shared" si="7"/>
        <v>2141.2999999999997</v>
      </c>
      <c r="N67" s="14">
        <f t="shared" si="8"/>
        <v>563.49999999999977</v>
      </c>
      <c r="O67" s="14" t="str">
        <f t="shared" si="9"/>
        <v>F</v>
      </c>
    </row>
    <row r="68" spans="1:15" ht="14.4" x14ac:dyDescent="0.3">
      <c r="A68" s="10">
        <v>45813</v>
      </c>
      <c r="B68" s="11" t="str">
        <f t="shared" si="5"/>
        <v>2025</v>
      </c>
      <c r="C68" s="11" t="str">
        <f t="shared" si="6"/>
        <v>Jun</v>
      </c>
      <c r="D68" s="12">
        <v>1332</v>
      </c>
      <c r="E68" s="12" t="s">
        <v>42</v>
      </c>
      <c r="F68" s="12" t="s">
        <v>24</v>
      </c>
      <c r="G68" s="12" t="s">
        <v>17</v>
      </c>
      <c r="H68" s="12" t="s">
        <v>29</v>
      </c>
      <c r="I68" s="12">
        <v>3</v>
      </c>
      <c r="J68" s="12">
        <v>282</v>
      </c>
      <c r="K68" s="13">
        <v>0.1</v>
      </c>
      <c r="L68" s="12">
        <v>197.4</v>
      </c>
      <c r="M68" s="12">
        <f t="shared" si="7"/>
        <v>761.4</v>
      </c>
      <c r="N68" s="14">
        <f t="shared" si="8"/>
        <v>169.19999999999993</v>
      </c>
      <c r="O68" s="14" t="str">
        <f t="shared" si="9"/>
        <v>F</v>
      </c>
    </row>
    <row r="69" spans="1:15" ht="14.4" x14ac:dyDescent="0.3">
      <c r="A69" s="10">
        <v>45812</v>
      </c>
      <c r="B69" s="11" t="str">
        <f t="shared" si="5"/>
        <v>2025</v>
      </c>
      <c r="C69" s="11" t="str">
        <f t="shared" si="6"/>
        <v>Jun</v>
      </c>
      <c r="D69" s="12">
        <v>1046</v>
      </c>
      <c r="E69" s="12" t="s">
        <v>37</v>
      </c>
      <c r="F69" s="12" t="s">
        <v>16</v>
      </c>
      <c r="G69" s="12" t="s">
        <v>17</v>
      </c>
      <c r="H69" s="12" t="s">
        <v>41</v>
      </c>
      <c r="I69" s="12">
        <v>4</v>
      </c>
      <c r="J69" s="12">
        <v>104</v>
      </c>
      <c r="K69" s="13">
        <v>0</v>
      </c>
      <c r="L69" s="12">
        <v>72.8</v>
      </c>
      <c r="M69" s="12">
        <f t="shared" si="7"/>
        <v>416</v>
      </c>
      <c r="N69" s="14">
        <f t="shared" si="8"/>
        <v>124.80000000000001</v>
      </c>
      <c r="O69" s="14" t="str">
        <f t="shared" si="9"/>
        <v>F</v>
      </c>
    </row>
    <row r="70" spans="1:15" ht="14.4" x14ac:dyDescent="0.3">
      <c r="A70" s="10">
        <v>45812</v>
      </c>
      <c r="B70" s="11" t="str">
        <f t="shared" si="5"/>
        <v>2025</v>
      </c>
      <c r="C70" s="11" t="str">
        <f t="shared" si="6"/>
        <v>Jun</v>
      </c>
      <c r="D70" s="12">
        <v>1303</v>
      </c>
      <c r="E70" s="12" t="s">
        <v>15</v>
      </c>
      <c r="F70" s="12" t="s">
        <v>24</v>
      </c>
      <c r="G70" s="12" t="s">
        <v>33</v>
      </c>
      <c r="H70" s="12" t="s">
        <v>40</v>
      </c>
      <c r="I70" s="12">
        <v>4</v>
      </c>
      <c r="J70" s="12">
        <v>466</v>
      </c>
      <c r="K70" s="13">
        <v>0.3</v>
      </c>
      <c r="L70" s="12">
        <v>326.2</v>
      </c>
      <c r="M70" s="12">
        <f t="shared" si="7"/>
        <v>1304.8</v>
      </c>
      <c r="N70" s="14">
        <f t="shared" si="8"/>
        <v>0</v>
      </c>
      <c r="O70" s="14" t="str">
        <f t="shared" si="9"/>
        <v>F</v>
      </c>
    </row>
    <row r="71" spans="1:15" ht="14.4" x14ac:dyDescent="0.3">
      <c r="A71" s="10">
        <v>45811</v>
      </c>
      <c r="B71" s="11" t="str">
        <f t="shared" si="5"/>
        <v>2025</v>
      </c>
      <c r="C71" s="11" t="str">
        <f t="shared" si="6"/>
        <v>Jun</v>
      </c>
      <c r="D71" s="12">
        <v>1074</v>
      </c>
      <c r="E71" s="12" t="s">
        <v>23</v>
      </c>
      <c r="F71" s="12" t="s">
        <v>38</v>
      </c>
      <c r="G71" s="12" t="s">
        <v>34</v>
      </c>
      <c r="H71" s="12" t="s">
        <v>31</v>
      </c>
      <c r="I71" s="12">
        <v>5</v>
      </c>
      <c r="J71" s="12">
        <v>130</v>
      </c>
      <c r="K71" s="13">
        <v>0.15</v>
      </c>
      <c r="L71" s="12">
        <v>91</v>
      </c>
      <c r="M71" s="12">
        <f t="shared" si="7"/>
        <v>552.5</v>
      </c>
      <c r="N71" s="14">
        <f t="shared" si="8"/>
        <v>97.5</v>
      </c>
      <c r="O71" s="14" t="str">
        <f t="shared" si="9"/>
        <v>F</v>
      </c>
    </row>
    <row r="72" spans="1:15" ht="14.4" x14ac:dyDescent="0.3">
      <c r="A72" s="10">
        <v>45809</v>
      </c>
      <c r="B72" s="11" t="str">
        <f t="shared" si="5"/>
        <v>2025</v>
      </c>
      <c r="C72" s="11" t="str">
        <f t="shared" si="6"/>
        <v>Jun</v>
      </c>
      <c r="D72" s="12">
        <v>1209</v>
      </c>
      <c r="E72" s="12" t="s">
        <v>27</v>
      </c>
      <c r="F72" s="12" t="s">
        <v>38</v>
      </c>
      <c r="G72" s="12" t="s">
        <v>17</v>
      </c>
      <c r="H72" s="12" t="s">
        <v>41</v>
      </c>
      <c r="I72" s="12">
        <v>9</v>
      </c>
      <c r="J72" s="12">
        <v>239</v>
      </c>
      <c r="K72" s="13">
        <v>0.25</v>
      </c>
      <c r="L72" s="12">
        <v>167.3</v>
      </c>
      <c r="M72" s="12">
        <f t="shared" si="7"/>
        <v>1613.25</v>
      </c>
      <c r="N72" s="14">
        <f t="shared" si="8"/>
        <v>107.54999999999995</v>
      </c>
      <c r="O72" s="14" t="str">
        <f t="shared" si="9"/>
        <v>F</v>
      </c>
    </row>
    <row r="73" spans="1:15" ht="14.4" x14ac:dyDescent="0.3">
      <c r="A73" s="10">
        <v>45808</v>
      </c>
      <c r="B73" s="11" t="str">
        <f t="shared" si="5"/>
        <v>2025</v>
      </c>
      <c r="C73" s="11" t="str">
        <f t="shared" si="6"/>
        <v>May</v>
      </c>
      <c r="D73" s="12">
        <v>1247</v>
      </c>
      <c r="E73" s="12" t="s">
        <v>35</v>
      </c>
      <c r="F73" s="12" t="s">
        <v>24</v>
      </c>
      <c r="G73" s="12" t="s">
        <v>33</v>
      </c>
      <c r="H73" s="12" t="s">
        <v>26</v>
      </c>
      <c r="I73" s="12">
        <v>8</v>
      </c>
      <c r="J73" s="12">
        <v>489</v>
      </c>
      <c r="K73" s="13">
        <v>0.05</v>
      </c>
      <c r="L73" s="12">
        <v>342.3</v>
      </c>
      <c r="M73" s="12">
        <f t="shared" si="7"/>
        <v>3716.3999999999996</v>
      </c>
      <c r="N73" s="14">
        <f t="shared" si="8"/>
        <v>977.99999999999955</v>
      </c>
      <c r="O73" s="14" t="str">
        <f t="shared" si="9"/>
        <v>F</v>
      </c>
    </row>
    <row r="74" spans="1:15" ht="14.4" x14ac:dyDescent="0.3">
      <c r="A74" s="10">
        <v>45806</v>
      </c>
      <c r="B74" s="11" t="str">
        <f t="shared" si="5"/>
        <v>2025</v>
      </c>
      <c r="C74" s="11" t="str">
        <f t="shared" si="6"/>
        <v>May</v>
      </c>
      <c r="D74" s="12">
        <v>1367</v>
      </c>
      <c r="E74" s="12" t="s">
        <v>23</v>
      </c>
      <c r="F74" s="12" t="s">
        <v>24</v>
      </c>
      <c r="G74" s="12" t="s">
        <v>28</v>
      </c>
      <c r="H74" s="12" t="s">
        <v>22</v>
      </c>
      <c r="I74" s="12">
        <v>6</v>
      </c>
      <c r="J74" s="12">
        <v>210</v>
      </c>
      <c r="K74" s="13">
        <v>0.15</v>
      </c>
      <c r="L74" s="12">
        <v>147</v>
      </c>
      <c r="M74" s="12">
        <f t="shared" si="7"/>
        <v>1071</v>
      </c>
      <c r="N74" s="14">
        <f t="shared" si="8"/>
        <v>189</v>
      </c>
      <c r="O74" s="14" t="str">
        <f t="shared" si="9"/>
        <v>F</v>
      </c>
    </row>
    <row r="75" spans="1:15" ht="14.4" x14ac:dyDescent="0.3">
      <c r="A75" s="10">
        <v>45805</v>
      </c>
      <c r="B75" s="11" t="str">
        <f t="shared" si="5"/>
        <v>2025</v>
      </c>
      <c r="C75" s="11" t="str">
        <f t="shared" si="6"/>
        <v>May</v>
      </c>
      <c r="D75" s="12">
        <v>1342</v>
      </c>
      <c r="E75" s="12" t="s">
        <v>27</v>
      </c>
      <c r="F75" s="12" t="s">
        <v>38</v>
      </c>
      <c r="G75" s="12" t="s">
        <v>28</v>
      </c>
      <c r="H75" s="12" t="s">
        <v>29</v>
      </c>
      <c r="I75" s="12">
        <v>3</v>
      </c>
      <c r="J75" s="12">
        <v>210</v>
      </c>
      <c r="K75" s="13">
        <v>0</v>
      </c>
      <c r="L75" s="12">
        <v>147</v>
      </c>
      <c r="M75" s="12">
        <f t="shared" si="7"/>
        <v>630</v>
      </c>
      <c r="N75" s="14">
        <f t="shared" si="8"/>
        <v>189</v>
      </c>
      <c r="O75" s="14" t="str">
        <f t="shared" si="9"/>
        <v>F</v>
      </c>
    </row>
    <row r="76" spans="1:15" ht="14.4" x14ac:dyDescent="0.3">
      <c r="A76" s="10">
        <v>45804</v>
      </c>
      <c r="B76" s="11" t="str">
        <f t="shared" si="5"/>
        <v>2025</v>
      </c>
      <c r="C76" s="11" t="str">
        <f t="shared" si="6"/>
        <v>May</v>
      </c>
      <c r="D76" s="12">
        <v>1024</v>
      </c>
      <c r="E76" s="12" t="s">
        <v>35</v>
      </c>
      <c r="F76" s="12" t="s">
        <v>24</v>
      </c>
      <c r="G76" s="12" t="s">
        <v>28</v>
      </c>
      <c r="H76" s="12" t="s">
        <v>22</v>
      </c>
      <c r="I76" s="12">
        <v>9</v>
      </c>
      <c r="J76" s="12">
        <v>343</v>
      </c>
      <c r="K76" s="13">
        <v>0.2</v>
      </c>
      <c r="L76" s="12">
        <v>240.1</v>
      </c>
      <c r="M76" s="12">
        <f t="shared" si="7"/>
        <v>2469.6000000000004</v>
      </c>
      <c r="N76" s="14">
        <f t="shared" si="8"/>
        <v>308.70000000000027</v>
      </c>
      <c r="O76" s="14" t="str">
        <f t="shared" si="9"/>
        <v>F</v>
      </c>
    </row>
    <row r="77" spans="1:15" ht="14.4" x14ac:dyDescent="0.3">
      <c r="A77" s="10">
        <v>45802</v>
      </c>
      <c r="B77" s="11" t="str">
        <f t="shared" si="5"/>
        <v>2025</v>
      </c>
      <c r="C77" s="11" t="str">
        <f t="shared" si="6"/>
        <v>May</v>
      </c>
      <c r="D77" s="12">
        <v>1149</v>
      </c>
      <c r="E77" s="12" t="s">
        <v>30</v>
      </c>
      <c r="F77" s="12" t="s">
        <v>24</v>
      </c>
      <c r="G77" s="12" t="s">
        <v>33</v>
      </c>
      <c r="H77" s="12" t="s">
        <v>22</v>
      </c>
      <c r="I77" s="12">
        <v>9</v>
      </c>
      <c r="J77" s="12">
        <v>263</v>
      </c>
      <c r="K77" s="13">
        <v>0.05</v>
      </c>
      <c r="L77" s="12">
        <v>184.1</v>
      </c>
      <c r="M77" s="12">
        <f t="shared" si="7"/>
        <v>2248.65</v>
      </c>
      <c r="N77" s="14">
        <f t="shared" si="8"/>
        <v>591.75000000000023</v>
      </c>
      <c r="O77" s="14" t="str">
        <f t="shared" si="9"/>
        <v>F</v>
      </c>
    </row>
    <row r="78" spans="1:15" ht="14.4" x14ac:dyDescent="0.3">
      <c r="A78" s="10">
        <v>45801</v>
      </c>
      <c r="B78" s="11" t="str">
        <f t="shared" si="5"/>
        <v>2025</v>
      </c>
      <c r="C78" s="11" t="str">
        <f t="shared" si="6"/>
        <v>May</v>
      </c>
      <c r="D78" s="12">
        <v>1402</v>
      </c>
      <c r="E78" s="12" t="s">
        <v>30</v>
      </c>
      <c r="F78" s="12" t="s">
        <v>24</v>
      </c>
      <c r="G78" s="12" t="s">
        <v>28</v>
      </c>
      <c r="H78" s="12" t="s">
        <v>26</v>
      </c>
      <c r="I78" s="12">
        <v>6</v>
      </c>
      <c r="J78" s="12">
        <v>497</v>
      </c>
      <c r="K78" s="13">
        <v>0</v>
      </c>
      <c r="L78" s="12">
        <v>347.9</v>
      </c>
      <c r="M78" s="12">
        <f t="shared" si="7"/>
        <v>2982</v>
      </c>
      <c r="N78" s="14">
        <f t="shared" si="8"/>
        <v>894.60000000000036</v>
      </c>
      <c r="O78" s="14" t="str">
        <f t="shared" si="9"/>
        <v>F</v>
      </c>
    </row>
    <row r="79" spans="1:15" ht="14.4" x14ac:dyDescent="0.3">
      <c r="A79" s="10">
        <v>45800</v>
      </c>
      <c r="B79" s="11" t="str">
        <f t="shared" si="5"/>
        <v>2025</v>
      </c>
      <c r="C79" s="11" t="str">
        <f t="shared" si="6"/>
        <v>May</v>
      </c>
      <c r="D79" s="12">
        <v>1178</v>
      </c>
      <c r="E79" s="12" t="s">
        <v>23</v>
      </c>
      <c r="F79" s="12" t="s">
        <v>16</v>
      </c>
      <c r="G79" s="12" t="s">
        <v>25</v>
      </c>
      <c r="H79" s="12" t="s">
        <v>36</v>
      </c>
      <c r="I79" s="12">
        <v>4</v>
      </c>
      <c r="J79" s="12">
        <v>456</v>
      </c>
      <c r="K79" s="13">
        <v>0.3</v>
      </c>
      <c r="L79" s="12">
        <v>319.2</v>
      </c>
      <c r="M79" s="12">
        <f t="shared" si="7"/>
        <v>1276.8</v>
      </c>
      <c r="N79" s="14">
        <f t="shared" si="8"/>
        <v>0</v>
      </c>
      <c r="O79" s="14" t="str">
        <f t="shared" si="9"/>
        <v>F</v>
      </c>
    </row>
    <row r="80" spans="1:15" ht="14.4" x14ac:dyDescent="0.3">
      <c r="A80" s="10">
        <v>45798</v>
      </c>
      <c r="B80" s="11" t="str">
        <f t="shared" si="5"/>
        <v>2025</v>
      </c>
      <c r="C80" s="11" t="str">
        <f t="shared" si="6"/>
        <v>May</v>
      </c>
      <c r="D80" s="12">
        <v>1326</v>
      </c>
      <c r="E80" s="12" t="s">
        <v>27</v>
      </c>
      <c r="F80" s="12" t="s">
        <v>38</v>
      </c>
      <c r="G80" s="12" t="s">
        <v>34</v>
      </c>
      <c r="H80" s="12" t="s">
        <v>29</v>
      </c>
      <c r="I80" s="12">
        <v>2</v>
      </c>
      <c r="J80" s="12">
        <v>353</v>
      </c>
      <c r="K80" s="13">
        <v>0.2</v>
      </c>
      <c r="L80" s="12">
        <v>247.1</v>
      </c>
      <c r="M80" s="12">
        <f t="shared" si="7"/>
        <v>564.80000000000007</v>
      </c>
      <c r="N80" s="14">
        <f t="shared" si="8"/>
        <v>70.60000000000008</v>
      </c>
      <c r="O80" s="14" t="str">
        <f t="shared" si="9"/>
        <v>F</v>
      </c>
    </row>
    <row r="81" spans="1:15" ht="14.4" x14ac:dyDescent="0.3">
      <c r="A81" s="10">
        <v>45797</v>
      </c>
      <c r="B81" s="11" t="str">
        <f t="shared" si="5"/>
        <v>2025</v>
      </c>
      <c r="C81" s="11" t="str">
        <f t="shared" si="6"/>
        <v>May</v>
      </c>
      <c r="D81" s="12">
        <v>1304</v>
      </c>
      <c r="E81" s="12" t="s">
        <v>32</v>
      </c>
      <c r="F81" s="12" t="s">
        <v>20</v>
      </c>
      <c r="G81" s="12" t="s">
        <v>25</v>
      </c>
      <c r="H81" s="12" t="s">
        <v>36</v>
      </c>
      <c r="I81" s="12">
        <v>8</v>
      </c>
      <c r="J81" s="12">
        <v>473</v>
      </c>
      <c r="K81" s="13">
        <v>0</v>
      </c>
      <c r="L81" s="12">
        <v>331.1</v>
      </c>
      <c r="M81" s="12">
        <f t="shared" si="7"/>
        <v>3784</v>
      </c>
      <c r="N81" s="14">
        <f t="shared" si="8"/>
        <v>1135.1999999999998</v>
      </c>
      <c r="O81" s="14" t="str">
        <f t="shared" si="9"/>
        <v>F</v>
      </c>
    </row>
    <row r="82" spans="1:15" ht="14.4" x14ac:dyDescent="0.3">
      <c r="A82" s="10">
        <v>45794</v>
      </c>
      <c r="B82" s="11" t="str">
        <f t="shared" si="5"/>
        <v>2025</v>
      </c>
      <c r="C82" s="11" t="str">
        <f t="shared" si="6"/>
        <v>May</v>
      </c>
      <c r="D82" s="12">
        <v>1125</v>
      </c>
      <c r="E82" s="12" t="s">
        <v>37</v>
      </c>
      <c r="F82" s="12" t="s">
        <v>24</v>
      </c>
      <c r="G82" s="12" t="s">
        <v>25</v>
      </c>
      <c r="H82" s="12" t="s">
        <v>22</v>
      </c>
      <c r="I82" s="12">
        <v>8</v>
      </c>
      <c r="J82" s="12">
        <v>130</v>
      </c>
      <c r="K82" s="13">
        <v>0.2</v>
      </c>
      <c r="L82" s="12">
        <v>91</v>
      </c>
      <c r="M82" s="12">
        <f t="shared" si="7"/>
        <v>832</v>
      </c>
      <c r="N82" s="14">
        <f t="shared" si="8"/>
        <v>104</v>
      </c>
      <c r="O82" s="14" t="str">
        <f t="shared" si="9"/>
        <v>F</v>
      </c>
    </row>
    <row r="83" spans="1:15" ht="14.4" x14ac:dyDescent="0.3">
      <c r="A83" s="10">
        <v>45792</v>
      </c>
      <c r="B83" s="11" t="str">
        <f t="shared" si="5"/>
        <v>2025</v>
      </c>
      <c r="C83" s="11" t="str">
        <f t="shared" si="6"/>
        <v>May</v>
      </c>
      <c r="D83" s="12">
        <v>1116</v>
      </c>
      <c r="E83" s="12" t="s">
        <v>19</v>
      </c>
      <c r="F83" s="12" t="s">
        <v>16</v>
      </c>
      <c r="G83" s="12" t="s">
        <v>28</v>
      </c>
      <c r="H83" s="12" t="s">
        <v>26</v>
      </c>
      <c r="I83" s="12">
        <v>8</v>
      </c>
      <c r="J83" s="12">
        <v>114</v>
      </c>
      <c r="K83" s="13">
        <v>0.15</v>
      </c>
      <c r="L83" s="12">
        <v>79.8</v>
      </c>
      <c r="M83" s="12">
        <f t="shared" si="7"/>
        <v>775.19999999999993</v>
      </c>
      <c r="N83" s="14">
        <f t="shared" si="8"/>
        <v>136.79999999999995</v>
      </c>
      <c r="O83" s="14" t="str">
        <f t="shared" si="9"/>
        <v>F</v>
      </c>
    </row>
    <row r="84" spans="1:15" ht="14.4" x14ac:dyDescent="0.3">
      <c r="A84" s="10">
        <v>45792</v>
      </c>
      <c r="B84" s="11" t="str">
        <f t="shared" si="5"/>
        <v>2025</v>
      </c>
      <c r="C84" s="11" t="str">
        <f t="shared" si="6"/>
        <v>May</v>
      </c>
      <c r="D84" s="12">
        <v>1347</v>
      </c>
      <c r="E84" s="12" t="s">
        <v>39</v>
      </c>
      <c r="F84" s="12" t="s">
        <v>38</v>
      </c>
      <c r="G84" s="12" t="s">
        <v>34</v>
      </c>
      <c r="H84" s="12" t="s">
        <v>22</v>
      </c>
      <c r="I84" s="12">
        <v>5</v>
      </c>
      <c r="J84" s="12">
        <v>469</v>
      </c>
      <c r="K84" s="13">
        <v>0.3</v>
      </c>
      <c r="L84" s="12">
        <v>328.3</v>
      </c>
      <c r="M84" s="12">
        <f t="shared" si="7"/>
        <v>1641.5</v>
      </c>
      <c r="N84" s="14">
        <f t="shared" si="8"/>
        <v>0</v>
      </c>
      <c r="O84" s="14" t="str">
        <f t="shared" si="9"/>
        <v>F</v>
      </c>
    </row>
    <row r="85" spans="1:15" ht="14.4" x14ac:dyDescent="0.3">
      <c r="A85" s="10">
        <v>45792</v>
      </c>
      <c r="B85" s="11" t="str">
        <f t="shared" si="5"/>
        <v>2025</v>
      </c>
      <c r="C85" s="11" t="str">
        <f t="shared" si="6"/>
        <v>May</v>
      </c>
      <c r="D85" s="12">
        <v>1408</v>
      </c>
      <c r="E85" s="12" t="s">
        <v>35</v>
      </c>
      <c r="F85" s="12" t="s">
        <v>24</v>
      </c>
      <c r="G85" s="12" t="s">
        <v>25</v>
      </c>
      <c r="H85" s="12" t="s">
        <v>29</v>
      </c>
      <c r="I85" s="12">
        <v>2</v>
      </c>
      <c r="J85" s="12">
        <v>241</v>
      </c>
      <c r="K85" s="13">
        <v>0.25</v>
      </c>
      <c r="L85" s="12">
        <v>168.7</v>
      </c>
      <c r="M85" s="12">
        <f t="shared" si="7"/>
        <v>361.5</v>
      </c>
      <c r="N85" s="14">
        <f t="shared" si="8"/>
        <v>24.100000000000023</v>
      </c>
      <c r="O85" s="14" t="str">
        <f t="shared" si="9"/>
        <v>F</v>
      </c>
    </row>
    <row r="86" spans="1:15" ht="14.4" x14ac:dyDescent="0.3">
      <c r="A86" s="10">
        <v>45789</v>
      </c>
      <c r="B86" s="11" t="str">
        <f t="shared" si="5"/>
        <v>2025</v>
      </c>
      <c r="C86" s="11" t="str">
        <f t="shared" si="6"/>
        <v>May</v>
      </c>
      <c r="D86" s="12">
        <v>1028</v>
      </c>
      <c r="E86" s="12" t="s">
        <v>37</v>
      </c>
      <c r="F86" s="12" t="s">
        <v>16</v>
      </c>
      <c r="G86" s="12" t="s">
        <v>33</v>
      </c>
      <c r="H86" s="12" t="s">
        <v>26</v>
      </c>
      <c r="I86" s="12">
        <v>9</v>
      </c>
      <c r="J86" s="12">
        <v>326</v>
      </c>
      <c r="K86" s="13">
        <v>0.25</v>
      </c>
      <c r="L86" s="12">
        <v>228.2</v>
      </c>
      <c r="M86" s="12">
        <f t="shared" si="7"/>
        <v>2200.5</v>
      </c>
      <c r="N86" s="14">
        <f t="shared" si="8"/>
        <v>146.70000000000027</v>
      </c>
      <c r="O86" s="14" t="str">
        <f t="shared" si="9"/>
        <v>F</v>
      </c>
    </row>
    <row r="87" spans="1:15" ht="14.4" x14ac:dyDescent="0.3">
      <c r="A87" s="10">
        <v>45787</v>
      </c>
      <c r="B87" s="11" t="str">
        <f t="shared" si="5"/>
        <v>2025</v>
      </c>
      <c r="C87" s="11" t="str">
        <f t="shared" si="6"/>
        <v>May</v>
      </c>
      <c r="D87" s="12">
        <v>1158</v>
      </c>
      <c r="E87" s="12" t="s">
        <v>39</v>
      </c>
      <c r="F87" s="12" t="s">
        <v>20</v>
      </c>
      <c r="G87" s="12" t="s">
        <v>25</v>
      </c>
      <c r="H87" s="12" t="s">
        <v>31</v>
      </c>
      <c r="I87" s="12">
        <v>8</v>
      </c>
      <c r="J87" s="12">
        <v>267</v>
      </c>
      <c r="K87" s="13">
        <v>0.05</v>
      </c>
      <c r="L87" s="12">
        <v>186.9</v>
      </c>
      <c r="M87" s="12">
        <f t="shared" si="7"/>
        <v>2029.1999999999998</v>
      </c>
      <c r="N87" s="14">
        <f t="shared" si="8"/>
        <v>533.99999999999977</v>
      </c>
      <c r="O87" s="14" t="str">
        <f t="shared" si="9"/>
        <v>F</v>
      </c>
    </row>
    <row r="88" spans="1:15" ht="14.4" x14ac:dyDescent="0.3">
      <c r="A88" s="10">
        <v>45787</v>
      </c>
      <c r="B88" s="11" t="str">
        <f t="shared" si="5"/>
        <v>2025</v>
      </c>
      <c r="C88" s="11" t="str">
        <f t="shared" si="6"/>
        <v>May</v>
      </c>
      <c r="D88" s="12">
        <v>1439</v>
      </c>
      <c r="E88" s="12" t="s">
        <v>37</v>
      </c>
      <c r="F88" s="12" t="s">
        <v>20</v>
      </c>
      <c r="G88" s="12" t="s">
        <v>34</v>
      </c>
      <c r="H88" s="12" t="s">
        <v>18</v>
      </c>
      <c r="I88" s="12">
        <v>8</v>
      </c>
      <c r="J88" s="12">
        <v>103</v>
      </c>
      <c r="K88" s="13">
        <v>0.25</v>
      </c>
      <c r="L88" s="12">
        <v>72.099999999999994</v>
      </c>
      <c r="M88" s="12">
        <f t="shared" si="7"/>
        <v>618</v>
      </c>
      <c r="N88" s="14">
        <f t="shared" si="8"/>
        <v>41.200000000000045</v>
      </c>
      <c r="O88" s="14" t="str">
        <f t="shared" si="9"/>
        <v>F</v>
      </c>
    </row>
    <row r="89" spans="1:15" ht="14.4" x14ac:dyDescent="0.3">
      <c r="A89" s="10">
        <v>45786</v>
      </c>
      <c r="B89" s="11" t="str">
        <f t="shared" si="5"/>
        <v>2025</v>
      </c>
      <c r="C89" s="11" t="str">
        <f t="shared" si="6"/>
        <v>May</v>
      </c>
      <c r="D89" s="12">
        <v>1458</v>
      </c>
      <c r="E89" s="12" t="s">
        <v>39</v>
      </c>
      <c r="F89" s="12" t="s">
        <v>38</v>
      </c>
      <c r="G89" s="12" t="s">
        <v>17</v>
      </c>
      <c r="H89" s="12" t="s">
        <v>26</v>
      </c>
      <c r="I89" s="12">
        <v>8</v>
      </c>
      <c r="J89" s="12">
        <v>348</v>
      </c>
      <c r="K89" s="13">
        <v>0.25</v>
      </c>
      <c r="L89" s="12">
        <v>243.6</v>
      </c>
      <c r="M89" s="12">
        <f t="shared" si="7"/>
        <v>2088</v>
      </c>
      <c r="N89" s="14">
        <f t="shared" si="8"/>
        <v>139.20000000000005</v>
      </c>
      <c r="O89" s="14" t="str">
        <f t="shared" si="9"/>
        <v>F</v>
      </c>
    </row>
    <row r="90" spans="1:15" ht="14.4" x14ac:dyDescent="0.3">
      <c r="A90" s="10">
        <v>45785</v>
      </c>
      <c r="B90" s="11" t="str">
        <f t="shared" si="5"/>
        <v>2025</v>
      </c>
      <c r="C90" s="11" t="str">
        <f t="shared" si="6"/>
        <v>May</v>
      </c>
      <c r="D90" s="12">
        <v>1217</v>
      </c>
      <c r="E90" s="12" t="s">
        <v>15</v>
      </c>
      <c r="F90" s="12" t="s">
        <v>24</v>
      </c>
      <c r="G90" s="12" t="s">
        <v>34</v>
      </c>
      <c r="H90" s="12" t="s">
        <v>36</v>
      </c>
      <c r="I90" s="12">
        <v>2</v>
      </c>
      <c r="J90" s="12">
        <v>282</v>
      </c>
      <c r="K90" s="13">
        <v>0.1</v>
      </c>
      <c r="L90" s="12">
        <v>197.4</v>
      </c>
      <c r="M90" s="12">
        <f t="shared" si="7"/>
        <v>507.6</v>
      </c>
      <c r="N90" s="14">
        <f t="shared" si="8"/>
        <v>112.80000000000001</v>
      </c>
      <c r="O90" s="14" t="str">
        <f t="shared" si="9"/>
        <v>F</v>
      </c>
    </row>
    <row r="91" spans="1:15" ht="14.4" x14ac:dyDescent="0.3">
      <c r="A91" s="10">
        <v>45783</v>
      </c>
      <c r="B91" s="11" t="str">
        <f t="shared" si="5"/>
        <v>2025</v>
      </c>
      <c r="C91" s="11" t="str">
        <f t="shared" si="6"/>
        <v>May</v>
      </c>
      <c r="D91" s="12">
        <v>1339</v>
      </c>
      <c r="E91" s="12" t="s">
        <v>35</v>
      </c>
      <c r="F91" s="12" t="s">
        <v>38</v>
      </c>
      <c r="G91" s="12" t="s">
        <v>33</v>
      </c>
      <c r="H91" s="12" t="s">
        <v>18</v>
      </c>
      <c r="I91" s="12">
        <v>1</v>
      </c>
      <c r="J91" s="12">
        <v>201</v>
      </c>
      <c r="K91" s="13">
        <v>0.25</v>
      </c>
      <c r="L91" s="12">
        <v>140.69999999999999</v>
      </c>
      <c r="M91" s="12">
        <f t="shared" si="7"/>
        <v>150.75</v>
      </c>
      <c r="N91" s="14">
        <f t="shared" si="8"/>
        <v>10.050000000000011</v>
      </c>
      <c r="O91" s="14" t="str">
        <f t="shared" si="9"/>
        <v>F</v>
      </c>
    </row>
    <row r="92" spans="1:15" ht="14.4" x14ac:dyDescent="0.3">
      <c r="A92" s="10">
        <v>45782</v>
      </c>
      <c r="B92" s="11" t="str">
        <f t="shared" si="5"/>
        <v>2025</v>
      </c>
      <c r="C92" s="11" t="str">
        <f t="shared" si="6"/>
        <v>May</v>
      </c>
      <c r="D92" s="12">
        <v>1306</v>
      </c>
      <c r="E92" s="12" t="s">
        <v>19</v>
      </c>
      <c r="F92" s="12" t="s">
        <v>38</v>
      </c>
      <c r="G92" s="12" t="s">
        <v>21</v>
      </c>
      <c r="H92" s="12" t="s">
        <v>41</v>
      </c>
      <c r="I92" s="12">
        <v>3</v>
      </c>
      <c r="J92" s="12">
        <v>88</v>
      </c>
      <c r="K92" s="13">
        <v>0.2</v>
      </c>
      <c r="L92" s="12">
        <v>61.599999999999987</v>
      </c>
      <c r="M92" s="12">
        <f t="shared" si="7"/>
        <v>211.20000000000002</v>
      </c>
      <c r="N92" s="14">
        <f t="shared" si="8"/>
        <v>26.400000000000063</v>
      </c>
      <c r="O92" s="14" t="str">
        <f t="shared" si="9"/>
        <v>F</v>
      </c>
    </row>
    <row r="93" spans="1:15" ht="14.4" x14ac:dyDescent="0.3">
      <c r="A93" s="10">
        <v>45782</v>
      </c>
      <c r="B93" s="11" t="str">
        <f t="shared" si="5"/>
        <v>2025</v>
      </c>
      <c r="C93" s="11" t="str">
        <f t="shared" si="6"/>
        <v>May</v>
      </c>
      <c r="D93" s="12">
        <v>1126</v>
      </c>
      <c r="E93" s="12" t="s">
        <v>30</v>
      </c>
      <c r="F93" s="12" t="s">
        <v>20</v>
      </c>
      <c r="G93" s="12" t="s">
        <v>33</v>
      </c>
      <c r="H93" s="12" t="s">
        <v>29</v>
      </c>
      <c r="I93" s="12">
        <v>5</v>
      </c>
      <c r="J93" s="12">
        <v>441</v>
      </c>
      <c r="K93" s="13">
        <v>0.15</v>
      </c>
      <c r="L93" s="12">
        <v>308.7</v>
      </c>
      <c r="M93" s="12">
        <f t="shared" si="7"/>
        <v>1874.25</v>
      </c>
      <c r="N93" s="14">
        <f t="shared" si="8"/>
        <v>330.75</v>
      </c>
      <c r="O93" s="14" t="str">
        <f t="shared" si="9"/>
        <v>F</v>
      </c>
    </row>
    <row r="94" spans="1:15" ht="14.4" x14ac:dyDescent="0.3">
      <c r="A94" s="10">
        <v>45781</v>
      </c>
      <c r="B94" s="11" t="str">
        <f t="shared" si="5"/>
        <v>2025</v>
      </c>
      <c r="C94" s="11" t="str">
        <f t="shared" si="6"/>
        <v>May</v>
      </c>
      <c r="D94" s="12">
        <v>1127</v>
      </c>
      <c r="E94" s="12" t="s">
        <v>37</v>
      </c>
      <c r="F94" s="12" t="s">
        <v>24</v>
      </c>
      <c r="G94" s="12" t="s">
        <v>21</v>
      </c>
      <c r="H94" s="12" t="s">
        <v>26</v>
      </c>
      <c r="I94" s="12">
        <v>2</v>
      </c>
      <c r="J94" s="12">
        <v>212</v>
      </c>
      <c r="K94" s="13">
        <v>0.1</v>
      </c>
      <c r="L94" s="12">
        <v>148.4</v>
      </c>
      <c r="M94" s="12">
        <f t="shared" si="7"/>
        <v>381.6</v>
      </c>
      <c r="N94" s="14">
        <f t="shared" si="8"/>
        <v>84.800000000000011</v>
      </c>
      <c r="O94" s="14" t="str">
        <f t="shared" si="9"/>
        <v>F</v>
      </c>
    </row>
    <row r="95" spans="1:15" ht="14.4" x14ac:dyDescent="0.3">
      <c r="A95" s="10">
        <v>45778</v>
      </c>
      <c r="B95" s="11" t="str">
        <f t="shared" si="5"/>
        <v>2025</v>
      </c>
      <c r="C95" s="11" t="str">
        <f t="shared" si="6"/>
        <v>May</v>
      </c>
      <c r="D95" s="12">
        <v>1081</v>
      </c>
      <c r="E95" s="12" t="s">
        <v>27</v>
      </c>
      <c r="F95" s="12" t="s">
        <v>24</v>
      </c>
      <c r="G95" s="12" t="s">
        <v>21</v>
      </c>
      <c r="H95" s="12" t="s">
        <v>31</v>
      </c>
      <c r="I95" s="12">
        <v>10</v>
      </c>
      <c r="J95" s="12">
        <v>103</v>
      </c>
      <c r="K95" s="13">
        <v>0.15</v>
      </c>
      <c r="L95" s="12">
        <v>72.099999999999994</v>
      </c>
      <c r="M95" s="12">
        <f t="shared" si="7"/>
        <v>875.5</v>
      </c>
      <c r="N95" s="14">
        <f t="shared" si="8"/>
        <v>154.5</v>
      </c>
      <c r="O95" s="14" t="str">
        <f t="shared" si="9"/>
        <v>F</v>
      </c>
    </row>
    <row r="96" spans="1:15" ht="14.4" x14ac:dyDescent="0.3">
      <c r="A96" s="10">
        <v>45778</v>
      </c>
      <c r="B96" s="11" t="str">
        <f t="shared" si="5"/>
        <v>2025</v>
      </c>
      <c r="C96" s="11" t="str">
        <f t="shared" si="6"/>
        <v>May</v>
      </c>
      <c r="D96" s="12">
        <v>1421</v>
      </c>
      <c r="E96" s="12" t="s">
        <v>23</v>
      </c>
      <c r="F96" s="12" t="s">
        <v>24</v>
      </c>
      <c r="G96" s="12" t="s">
        <v>17</v>
      </c>
      <c r="H96" s="12" t="s">
        <v>22</v>
      </c>
      <c r="I96" s="12">
        <v>9</v>
      </c>
      <c r="J96" s="12">
        <v>329</v>
      </c>
      <c r="K96" s="13">
        <v>0.25</v>
      </c>
      <c r="L96" s="12">
        <v>230.3</v>
      </c>
      <c r="M96" s="12">
        <f t="shared" si="7"/>
        <v>2220.75</v>
      </c>
      <c r="N96" s="14">
        <f t="shared" si="8"/>
        <v>148.04999999999973</v>
      </c>
      <c r="O96" s="14" t="str">
        <f t="shared" si="9"/>
        <v>F</v>
      </c>
    </row>
    <row r="97" spans="1:15" ht="14.4" x14ac:dyDescent="0.3">
      <c r="A97" s="10">
        <v>45773</v>
      </c>
      <c r="B97" s="11" t="str">
        <f t="shared" si="5"/>
        <v>2025</v>
      </c>
      <c r="C97" s="11" t="str">
        <f t="shared" si="6"/>
        <v>Apr</v>
      </c>
      <c r="D97" s="12">
        <v>1134</v>
      </c>
      <c r="E97" s="12" t="s">
        <v>23</v>
      </c>
      <c r="F97" s="12" t="s">
        <v>24</v>
      </c>
      <c r="G97" s="12" t="s">
        <v>33</v>
      </c>
      <c r="H97" s="12" t="s">
        <v>22</v>
      </c>
      <c r="I97" s="12">
        <v>5</v>
      </c>
      <c r="J97" s="12">
        <v>77</v>
      </c>
      <c r="K97" s="13">
        <v>0.2</v>
      </c>
      <c r="L97" s="12">
        <v>53.9</v>
      </c>
      <c r="M97" s="12">
        <f t="shared" si="7"/>
        <v>308</v>
      </c>
      <c r="N97" s="14">
        <f t="shared" si="8"/>
        <v>38.5</v>
      </c>
      <c r="O97" s="14" t="str">
        <f t="shared" si="9"/>
        <v>F</v>
      </c>
    </row>
    <row r="98" spans="1:15" ht="14.4" x14ac:dyDescent="0.3">
      <c r="A98" s="10">
        <v>45773</v>
      </c>
      <c r="B98" s="11" t="str">
        <f t="shared" si="5"/>
        <v>2025</v>
      </c>
      <c r="C98" s="11" t="str">
        <f t="shared" si="6"/>
        <v>Apr</v>
      </c>
      <c r="D98" s="12">
        <v>1144</v>
      </c>
      <c r="E98" s="12" t="s">
        <v>39</v>
      </c>
      <c r="F98" s="12" t="s">
        <v>38</v>
      </c>
      <c r="G98" s="12" t="s">
        <v>34</v>
      </c>
      <c r="H98" s="12" t="s">
        <v>36</v>
      </c>
      <c r="I98" s="12">
        <v>2</v>
      </c>
      <c r="J98" s="12">
        <v>265</v>
      </c>
      <c r="K98" s="13">
        <v>0</v>
      </c>
      <c r="L98" s="12">
        <v>185.5</v>
      </c>
      <c r="M98" s="12">
        <f t="shared" si="7"/>
        <v>530</v>
      </c>
      <c r="N98" s="14">
        <f t="shared" si="8"/>
        <v>159</v>
      </c>
      <c r="O98" s="14" t="str">
        <f t="shared" si="9"/>
        <v>F</v>
      </c>
    </row>
    <row r="99" spans="1:15" ht="14.4" x14ac:dyDescent="0.3">
      <c r="A99" s="10">
        <v>45771</v>
      </c>
      <c r="B99" s="11" t="str">
        <f t="shared" si="5"/>
        <v>2025</v>
      </c>
      <c r="C99" s="11" t="str">
        <f t="shared" si="6"/>
        <v>Apr</v>
      </c>
      <c r="D99" s="12">
        <v>1184</v>
      </c>
      <c r="E99" s="12" t="s">
        <v>37</v>
      </c>
      <c r="F99" s="12" t="s">
        <v>16</v>
      </c>
      <c r="G99" s="12" t="s">
        <v>33</v>
      </c>
      <c r="H99" s="12" t="s">
        <v>31</v>
      </c>
      <c r="I99" s="12">
        <v>9</v>
      </c>
      <c r="J99" s="12">
        <v>85</v>
      </c>
      <c r="K99" s="13">
        <v>0.2</v>
      </c>
      <c r="L99" s="12">
        <v>59.499999999999993</v>
      </c>
      <c r="M99" s="12">
        <f t="shared" si="7"/>
        <v>612</v>
      </c>
      <c r="N99" s="14">
        <f t="shared" si="8"/>
        <v>76.500000000000114</v>
      </c>
      <c r="O99" s="14" t="str">
        <f t="shared" si="9"/>
        <v>F</v>
      </c>
    </row>
    <row r="100" spans="1:15" ht="14.4" x14ac:dyDescent="0.3">
      <c r="A100" s="10">
        <v>45770</v>
      </c>
      <c r="B100" s="11" t="str">
        <f t="shared" si="5"/>
        <v>2025</v>
      </c>
      <c r="C100" s="11" t="str">
        <f t="shared" si="6"/>
        <v>Apr</v>
      </c>
      <c r="D100" s="12">
        <v>1037</v>
      </c>
      <c r="E100" s="12" t="s">
        <v>32</v>
      </c>
      <c r="F100" s="12" t="s">
        <v>24</v>
      </c>
      <c r="G100" s="12" t="s">
        <v>17</v>
      </c>
      <c r="H100" s="12" t="s">
        <v>31</v>
      </c>
      <c r="I100" s="12">
        <v>6</v>
      </c>
      <c r="J100" s="12">
        <v>219</v>
      </c>
      <c r="K100" s="13">
        <v>0.2</v>
      </c>
      <c r="L100" s="12">
        <v>153.30000000000001</v>
      </c>
      <c r="M100" s="12">
        <f t="shared" si="7"/>
        <v>1051.2</v>
      </c>
      <c r="N100" s="14">
        <f t="shared" si="8"/>
        <v>131.39999999999998</v>
      </c>
      <c r="O100" s="14" t="str">
        <f t="shared" si="9"/>
        <v>F</v>
      </c>
    </row>
    <row r="101" spans="1:15" ht="14.4" x14ac:dyDescent="0.3">
      <c r="A101" s="10">
        <v>45767</v>
      </c>
      <c r="B101" s="11" t="str">
        <f t="shared" si="5"/>
        <v>2025</v>
      </c>
      <c r="C101" s="11" t="str">
        <f t="shared" si="6"/>
        <v>Apr</v>
      </c>
      <c r="D101" s="12">
        <v>1085</v>
      </c>
      <c r="E101" s="12" t="s">
        <v>19</v>
      </c>
      <c r="F101" s="12" t="s">
        <v>20</v>
      </c>
      <c r="G101" s="12" t="s">
        <v>21</v>
      </c>
      <c r="H101" s="12" t="s">
        <v>31</v>
      </c>
      <c r="I101" s="12">
        <v>9</v>
      </c>
      <c r="J101" s="12">
        <v>240</v>
      </c>
      <c r="K101" s="13">
        <v>0.05</v>
      </c>
      <c r="L101" s="12">
        <v>168</v>
      </c>
      <c r="M101" s="12">
        <f t="shared" si="7"/>
        <v>2052</v>
      </c>
      <c r="N101" s="14">
        <f t="shared" si="8"/>
        <v>540</v>
      </c>
      <c r="O101" s="14" t="str">
        <f t="shared" si="9"/>
        <v>F</v>
      </c>
    </row>
    <row r="102" spans="1:15" ht="14.4" x14ac:dyDescent="0.3">
      <c r="A102" s="10">
        <v>45767</v>
      </c>
      <c r="B102" s="11" t="str">
        <f t="shared" si="5"/>
        <v>2025</v>
      </c>
      <c r="C102" s="11" t="str">
        <f t="shared" si="6"/>
        <v>Apr</v>
      </c>
      <c r="D102" s="12">
        <v>1084</v>
      </c>
      <c r="E102" s="12" t="s">
        <v>32</v>
      </c>
      <c r="F102" s="12" t="s">
        <v>16</v>
      </c>
      <c r="G102" s="12" t="s">
        <v>17</v>
      </c>
      <c r="H102" s="12" t="s">
        <v>26</v>
      </c>
      <c r="I102" s="12">
        <v>3</v>
      </c>
      <c r="J102" s="12">
        <v>359</v>
      </c>
      <c r="K102" s="13">
        <v>0.05</v>
      </c>
      <c r="L102" s="12">
        <v>251.3</v>
      </c>
      <c r="M102" s="12">
        <f t="shared" si="7"/>
        <v>1023.15</v>
      </c>
      <c r="N102" s="14">
        <f t="shared" si="8"/>
        <v>269.24999999999989</v>
      </c>
      <c r="O102" s="14" t="str">
        <f t="shared" si="9"/>
        <v>F</v>
      </c>
    </row>
    <row r="103" spans="1:15" ht="14.4" x14ac:dyDescent="0.3">
      <c r="A103" s="10">
        <v>45767</v>
      </c>
      <c r="B103" s="11" t="str">
        <f t="shared" si="5"/>
        <v>2025</v>
      </c>
      <c r="C103" s="11" t="str">
        <f t="shared" si="6"/>
        <v>Apr</v>
      </c>
      <c r="D103" s="12">
        <v>1189</v>
      </c>
      <c r="E103" s="12" t="s">
        <v>23</v>
      </c>
      <c r="F103" s="12" t="s">
        <v>38</v>
      </c>
      <c r="G103" s="12" t="s">
        <v>17</v>
      </c>
      <c r="H103" s="12" t="s">
        <v>40</v>
      </c>
      <c r="I103" s="12">
        <v>1</v>
      </c>
      <c r="J103" s="12">
        <v>292</v>
      </c>
      <c r="K103" s="13">
        <v>0.25</v>
      </c>
      <c r="L103" s="12">
        <v>204.4</v>
      </c>
      <c r="M103" s="12">
        <f t="shared" si="7"/>
        <v>219</v>
      </c>
      <c r="N103" s="14">
        <f t="shared" si="8"/>
        <v>14.599999999999994</v>
      </c>
      <c r="O103" s="14" t="str">
        <f t="shared" si="9"/>
        <v>F</v>
      </c>
    </row>
    <row r="104" spans="1:15" ht="14.4" x14ac:dyDescent="0.3">
      <c r="A104" s="10">
        <v>45767</v>
      </c>
      <c r="B104" s="11" t="str">
        <f t="shared" si="5"/>
        <v>2025</v>
      </c>
      <c r="C104" s="11" t="str">
        <f t="shared" si="6"/>
        <v>Apr</v>
      </c>
      <c r="D104" s="12">
        <v>1281</v>
      </c>
      <c r="E104" s="12" t="s">
        <v>30</v>
      </c>
      <c r="F104" s="12" t="s">
        <v>16</v>
      </c>
      <c r="G104" s="12" t="s">
        <v>33</v>
      </c>
      <c r="H104" s="12" t="s">
        <v>41</v>
      </c>
      <c r="I104" s="12">
        <v>8</v>
      </c>
      <c r="J104" s="12">
        <v>247</v>
      </c>
      <c r="K104" s="13">
        <v>0.2</v>
      </c>
      <c r="L104" s="12">
        <v>172.9</v>
      </c>
      <c r="M104" s="12">
        <f t="shared" si="7"/>
        <v>1580.8000000000002</v>
      </c>
      <c r="N104" s="14">
        <f t="shared" si="8"/>
        <v>197.60000000000014</v>
      </c>
      <c r="O104" s="14" t="str">
        <f t="shared" si="9"/>
        <v>F</v>
      </c>
    </row>
    <row r="105" spans="1:15" ht="14.4" x14ac:dyDescent="0.3">
      <c r="A105" s="10">
        <v>45766</v>
      </c>
      <c r="B105" s="11" t="str">
        <f t="shared" si="5"/>
        <v>2025</v>
      </c>
      <c r="C105" s="11" t="str">
        <f t="shared" si="6"/>
        <v>Apr</v>
      </c>
      <c r="D105" s="12">
        <v>1455</v>
      </c>
      <c r="E105" s="12" t="s">
        <v>27</v>
      </c>
      <c r="F105" s="12" t="s">
        <v>16</v>
      </c>
      <c r="G105" s="12" t="s">
        <v>34</v>
      </c>
      <c r="H105" s="12" t="s">
        <v>29</v>
      </c>
      <c r="I105" s="12">
        <v>8</v>
      </c>
      <c r="J105" s="12">
        <v>153</v>
      </c>
      <c r="K105" s="13">
        <v>0.05</v>
      </c>
      <c r="L105" s="12">
        <v>107.1</v>
      </c>
      <c r="M105" s="12">
        <f t="shared" si="7"/>
        <v>1162.8</v>
      </c>
      <c r="N105" s="14">
        <f t="shared" si="8"/>
        <v>306</v>
      </c>
      <c r="O105" s="14" t="str">
        <f t="shared" si="9"/>
        <v>F</v>
      </c>
    </row>
    <row r="106" spans="1:15" ht="14.4" x14ac:dyDescent="0.3">
      <c r="A106" s="10">
        <v>45765</v>
      </c>
      <c r="B106" s="11" t="str">
        <f t="shared" si="5"/>
        <v>2025</v>
      </c>
      <c r="C106" s="11" t="str">
        <f t="shared" si="6"/>
        <v>Apr</v>
      </c>
      <c r="D106" s="12">
        <v>1148</v>
      </c>
      <c r="E106" s="12" t="s">
        <v>42</v>
      </c>
      <c r="F106" s="12" t="s">
        <v>24</v>
      </c>
      <c r="G106" s="12" t="s">
        <v>33</v>
      </c>
      <c r="H106" s="12" t="s">
        <v>36</v>
      </c>
      <c r="I106" s="12">
        <v>10</v>
      </c>
      <c r="J106" s="12">
        <v>409</v>
      </c>
      <c r="K106" s="13">
        <v>0.05</v>
      </c>
      <c r="L106" s="12">
        <v>286.3</v>
      </c>
      <c r="M106" s="12">
        <f t="shared" si="7"/>
        <v>3885.5</v>
      </c>
      <c r="N106" s="14">
        <f t="shared" si="8"/>
        <v>1022.5</v>
      </c>
      <c r="O106" s="14" t="str">
        <f t="shared" si="9"/>
        <v>F</v>
      </c>
    </row>
    <row r="107" spans="1:15" ht="14.4" x14ac:dyDescent="0.3">
      <c r="A107" s="10">
        <v>45765</v>
      </c>
      <c r="B107" s="11" t="str">
        <f t="shared" si="5"/>
        <v>2025</v>
      </c>
      <c r="C107" s="11" t="str">
        <f t="shared" si="6"/>
        <v>Apr</v>
      </c>
      <c r="D107" s="12">
        <v>1375</v>
      </c>
      <c r="E107" s="12" t="s">
        <v>23</v>
      </c>
      <c r="F107" s="12" t="s">
        <v>24</v>
      </c>
      <c r="G107" s="12" t="s">
        <v>21</v>
      </c>
      <c r="H107" s="12" t="s">
        <v>22</v>
      </c>
      <c r="I107" s="12">
        <v>1</v>
      </c>
      <c r="J107" s="12">
        <v>441</v>
      </c>
      <c r="K107" s="13">
        <v>0.15</v>
      </c>
      <c r="L107" s="12">
        <v>308.7</v>
      </c>
      <c r="M107" s="12">
        <f t="shared" si="7"/>
        <v>374.84999999999997</v>
      </c>
      <c r="N107" s="14">
        <f t="shared" si="8"/>
        <v>66.149999999999977</v>
      </c>
      <c r="O107" s="14" t="str">
        <f t="shared" si="9"/>
        <v>F</v>
      </c>
    </row>
    <row r="108" spans="1:15" ht="14.4" x14ac:dyDescent="0.3">
      <c r="A108" s="10">
        <v>45764</v>
      </c>
      <c r="B108" s="11" t="str">
        <f t="shared" si="5"/>
        <v>2025</v>
      </c>
      <c r="C108" s="11" t="str">
        <f t="shared" si="6"/>
        <v>Apr</v>
      </c>
      <c r="D108" s="12">
        <v>1098</v>
      </c>
      <c r="E108" s="12" t="s">
        <v>35</v>
      </c>
      <c r="F108" s="12" t="s">
        <v>24</v>
      </c>
      <c r="G108" s="12" t="s">
        <v>34</v>
      </c>
      <c r="H108" s="12" t="s">
        <v>31</v>
      </c>
      <c r="I108" s="12">
        <v>6</v>
      </c>
      <c r="J108" s="12">
        <v>239</v>
      </c>
      <c r="K108" s="13">
        <v>0.15</v>
      </c>
      <c r="L108" s="12">
        <v>167.3</v>
      </c>
      <c r="M108" s="12">
        <f t="shared" si="7"/>
        <v>1218.8999999999999</v>
      </c>
      <c r="N108" s="14">
        <f t="shared" si="8"/>
        <v>215.0999999999998</v>
      </c>
      <c r="O108" s="14" t="str">
        <f t="shared" si="9"/>
        <v>F</v>
      </c>
    </row>
    <row r="109" spans="1:15" ht="14.4" x14ac:dyDescent="0.3">
      <c r="A109" s="10">
        <v>45764</v>
      </c>
      <c r="B109" s="11" t="str">
        <f t="shared" si="5"/>
        <v>2025</v>
      </c>
      <c r="C109" s="11" t="str">
        <f t="shared" si="6"/>
        <v>Apr</v>
      </c>
      <c r="D109" s="12">
        <v>1153</v>
      </c>
      <c r="E109" s="12" t="s">
        <v>37</v>
      </c>
      <c r="F109" s="12" t="s">
        <v>16</v>
      </c>
      <c r="G109" s="12" t="s">
        <v>21</v>
      </c>
      <c r="H109" s="12" t="s">
        <v>22</v>
      </c>
      <c r="I109" s="12">
        <v>9</v>
      </c>
      <c r="J109" s="12">
        <v>150</v>
      </c>
      <c r="K109" s="13">
        <v>0</v>
      </c>
      <c r="L109" s="12">
        <v>105</v>
      </c>
      <c r="M109" s="12">
        <f t="shared" si="7"/>
        <v>1350</v>
      </c>
      <c r="N109" s="14">
        <f t="shared" si="8"/>
        <v>405</v>
      </c>
      <c r="O109" s="14" t="str">
        <f t="shared" si="9"/>
        <v>F</v>
      </c>
    </row>
    <row r="110" spans="1:15" ht="14.4" x14ac:dyDescent="0.3">
      <c r="A110" s="10">
        <v>45764</v>
      </c>
      <c r="B110" s="11" t="str">
        <f t="shared" si="5"/>
        <v>2025</v>
      </c>
      <c r="C110" s="11" t="str">
        <f t="shared" si="6"/>
        <v>Apr</v>
      </c>
      <c r="D110" s="12">
        <v>1172</v>
      </c>
      <c r="E110" s="12" t="s">
        <v>23</v>
      </c>
      <c r="F110" s="12" t="s">
        <v>38</v>
      </c>
      <c r="G110" s="12" t="s">
        <v>34</v>
      </c>
      <c r="H110" s="12" t="s">
        <v>29</v>
      </c>
      <c r="I110" s="12">
        <v>8</v>
      </c>
      <c r="J110" s="12">
        <v>280</v>
      </c>
      <c r="K110" s="13">
        <v>0</v>
      </c>
      <c r="L110" s="12">
        <v>196</v>
      </c>
      <c r="M110" s="12">
        <f t="shared" si="7"/>
        <v>2240</v>
      </c>
      <c r="N110" s="14">
        <f t="shared" si="8"/>
        <v>672</v>
      </c>
      <c r="O110" s="14" t="str">
        <f t="shared" si="9"/>
        <v>F</v>
      </c>
    </row>
    <row r="111" spans="1:15" ht="14.4" x14ac:dyDescent="0.3">
      <c r="A111" s="10">
        <v>45764</v>
      </c>
      <c r="B111" s="11" t="str">
        <f t="shared" si="5"/>
        <v>2025</v>
      </c>
      <c r="C111" s="11" t="str">
        <f t="shared" si="6"/>
        <v>Apr</v>
      </c>
      <c r="D111" s="12">
        <v>1243</v>
      </c>
      <c r="E111" s="12" t="s">
        <v>30</v>
      </c>
      <c r="F111" s="12" t="s">
        <v>24</v>
      </c>
      <c r="G111" s="12" t="s">
        <v>17</v>
      </c>
      <c r="H111" s="12" t="s">
        <v>36</v>
      </c>
      <c r="I111" s="12">
        <v>5</v>
      </c>
      <c r="J111" s="12">
        <v>436</v>
      </c>
      <c r="K111" s="13">
        <v>0.3</v>
      </c>
      <c r="L111" s="12">
        <v>305.2</v>
      </c>
      <c r="M111" s="12">
        <f t="shared" si="7"/>
        <v>1526</v>
      </c>
      <c r="N111" s="14">
        <f t="shared" si="8"/>
        <v>0</v>
      </c>
      <c r="O111" s="14" t="str">
        <f t="shared" si="9"/>
        <v>F</v>
      </c>
    </row>
    <row r="112" spans="1:15" ht="14.4" x14ac:dyDescent="0.3">
      <c r="A112" s="10">
        <v>45763</v>
      </c>
      <c r="B112" s="11" t="str">
        <f t="shared" si="5"/>
        <v>2025</v>
      </c>
      <c r="C112" s="11" t="str">
        <f t="shared" si="6"/>
        <v>Apr</v>
      </c>
      <c r="D112" s="12">
        <v>1407</v>
      </c>
      <c r="E112" s="12" t="s">
        <v>35</v>
      </c>
      <c r="F112" s="12" t="s">
        <v>20</v>
      </c>
      <c r="G112" s="12" t="s">
        <v>33</v>
      </c>
      <c r="H112" s="12" t="s">
        <v>40</v>
      </c>
      <c r="I112" s="12">
        <v>9</v>
      </c>
      <c r="J112" s="12">
        <v>84</v>
      </c>
      <c r="K112" s="13">
        <v>0</v>
      </c>
      <c r="L112" s="12">
        <v>58.8</v>
      </c>
      <c r="M112" s="12">
        <f t="shared" si="7"/>
        <v>756</v>
      </c>
      <c r="N112" s="14">
        <f t="shared" si="8"/>
        <v>226.80000000000007</v>
      </c>
      <c r="O112" s="14" t="str">
        <f t="shared" si="9"/>
        <v>F</v>
      </c>
    </row>
    <row r="113" spans="1:15" ht="14.4" x14ac:dyDescent="0.3">
      <c r="A113" s="10">
        <v>45763</v>
      </c>
      <c r="B113" s="11" t="str">
        <f t="shared" si="5"/>
        <v>2025</v>
      </c>
      <c r="C113" s="11" t="str">
        <f t="shared" si="6"/>
        <v>Apr</v>
      </c>
      <c r="D113" s="12">
        <v>1234</v>
      </c>
      <c r="E113" s="12" t="s">
        <v>39</v>
      </c>
      <c r="F113" s="12" t="s">
        <v>24</v>
      </c>
      <c r="G113" s="12" t="s">
        <v>21</v>
      </c>
      <c r="H113" s="12" t="s">
        <v>41</v>
      </c>
      <c r="I113" s="12">
        <v>4</v>
      </c>
      <c r="J113" s="12">
        <v>282</v>
      </c>
      <c r="K113" s="13">
        <v>0.3</v>
      </c>
      <c r="L113" s="12">
        <v>197.4</v>
      </c>
      <c r="M113" s="12">
        <f t="shared" si="7"/>
        <v>789.59999999999991</v>
      </c>
      <c r="N113" s="14">
        <f t="shared" si="8"/>
        <v>0</v>
      </c>
      <c r="O113" s="14" t="str">
        <f t="shared" si="9"/>
        <v>F</v>
      </c>
    </row>
    <row r="114" spans="1:15" ht="14.4" x14ac:dyDescent="0.3">
      <c r="A114" s="10">
        <v>45762</v>
      </c>
      <c r="B114" s="11" t="str">
        <f t="shared" si="5"/>
        <v>2025</v>
      </c>
      <c r="C114" s="11" t="str">
        <f t="shared" si="6"/>
        <v>Apr</v>
      </c>
      <c r="D114" s="12">
        <v>1008</v>
      </c>
      <c r="E114" s="12" t="s">
        <v>19</v>
      </c>
      <c r="F114" s="12" t="s">
        <v>24</v>
      </c>
      <c r="G114" s="12" t="s">
        <v>21</v>
      </c>
      <c r="H114" s="12" t="s">
        <v>41</v>
      </c>
      <c r="I114" s="12">
        <v>9</v>
      </c>
      <c r="J114" s="12">
        <v>70</v>
      </c>
      <c r="K114" s="13">
        <v>0</v>
      </c>
      <c r="L114" s="12">
        <v>49</v>
      </c>
      <c r="M114" s="12">
        <f t="shared" si="7"/>
        <v>630</v>
      </c>
      <c r="N114" s="14">
        <f t="shared" si="8"/>
        <v>189</v>
      </c>
      <c r="O114" s="14" t="str">
        <f t="shared" si="9"/>
        <v>F</v>
      </c>
    </row>
    <row r="115" spans="1:15" ht="14.4" x14ac:dyDescent="0.3">
      <c r="A115" s="10">
        <v>45761</v>
      </c>
      <c r="B115" s="11" t="str">
        <f t="shared" si="5"/>
        <v>2025</v>
      </c>
      <c r="C115" s="11" t="str">
        <f t="shared" si="6"/>
        <v>Apr</v>
      </c>
      <c r="D115" s="12">
        <v>1017</v>
      </c>
      <c r="E115" s="12" t="s">
        <v>35</v>
      </c>
      <c r="F115" s="12" t="s">
        <v>20</v>
      </c>
      <c r="G115" s="12" t="s">
        <v>33</v>
      </c>
      <c r="H115" s="12" t="s">
        <v>18</v>
      </c>
      <c r="I115" s="12">
        <v>9</v>
      </c>
      <c r="J115" s="12">
        <v>201</v>
      </c>
      <c r="K115" s="13">
        <v>0.2</v>
      </c>
      <c r="L115" s="12">
        <v>140.69999999999999</v>
      </c>
      <c r="M115" s="12">
        <f t="shared" si="7"/>
        <v>1447.2</v>
      </c>
      <c r="N115" s="14">
        <f t="shared" si="8"/>
        <v>180.90000000000009</v>
      </c>
      <c r="O115" s="14" t="str">
        <f t="shared" si="9"/>
        <v>F</v>
      </c>
    </row>
    <row r="116" spans="1:15" ht="14.4" x14ac:dyDescent="0.3">
      <c r="A116" s="10">
        <v>45761</v>
      </c>
      <c r="B116" s="11" t="str">
        <f t="shared" si="5"/>
        <v>2025</v>
      </c>
      <c r="C116" s="11" t="str">
        <f t="shared" si="6"/>
        <v>Apr</v>
      </c>
      <c r="D116" s="12">
        <v>1491</v>
      </c>
      <c r="E116" s="12" t="s">
        <v>39</v>
      </c>
      <c r="F116" s="12" t="s">
        <v>24</v>
      </c>
      <c r="G116" s="12" t="s">
        <v>25</v>
      </c>
      <c r="H116" s="12" t="s">
        <v>31</v>
      </c>
      <c r="I116" s="12">
        <v>4</v>
      </c>
      <c r="J116" s="12">
        <v>235</v>
      </c>
      <c r="K116" s="13">
        <v>0.3</v>
      </c>
      <c r="L116" s="12">
        <v>164.5</v>
      </c>
      <c r="M116" s="12">
        <f t="shared" si="7"/>
        <v>658</v>
      </c>
      <c r="N116" s="14">
        <f t="shared" si="8"/>
        <v>0</v>
      </c>
      <c r="O116" s="14" t="str">
        <f t="shared" si="9"/>
        <v>F</v>
      </c>
    </row>
    <row r="117" spans="1:15" ht="14.4" x14ac:dyDescent="0.3">
      <c r="A117" s="10">
        <v>45760</v>
      </c>
      <c r="B117" s="11" t="str">
        <f t="shared" si="5"/>
        <v>2025</v>
      </c>
      <c r="C117" s="11" t="str">
        <f t="shared" si="6"/>
        <v>Apr</v>
      </c>
      <c r="D117" s="12">
        <v>1466</v>
      </c>
      <c r="E117" s="12" t="s">
        <v>37</v>
      </c>
      <c r="F117" s="12" t="s">
        <v>20</v>
      </c>
      <c r="G117" s="12" t="s">
        <v>28</v>
      </c>
      <c r="H117" s="12" t="s">
        <v>26</v>
      </c>
      <c r="I117" s="12">
        <v>9</v>
      </c>
      <c r="J117" s="12">
        <v>355</v>
      </c>
      <c r="K117" s="13">
        <v>0.2</v>
      </c>
      <c r="L117" s="12">
        <v>248.5</v>
      </c>
      <c r="M117" s="12">
        <f t="shared" si="7"/>
        <v>2556</v>
      </c>
      <c r="N117" s="14">
        <f t="shared" si="8"/>
        <v>319.5</v>
      </c>
      <c r="O117" s="14" t="str">
        <f t="shared" si="9"/>
        <v>F</v>
      </c>
    </row>
    <row r="118" spans="1:15" ht="14.4" x14ac:dyDescent="0.3">
      <c r="A118" s="10">
        <v>45760</v>
      </c>
      <c r="B118" s="11" t="str">
        <f t="shared" si="5"/>
        <v>2025</v>
      </c>
      <c r="C118" s="11" t="str">
        <f t="shared" si="6"/>
        <v>Apr</v>
      </c>
      <c r="D118" s="12">
        <v>1274</v>
      </c>
      <c r="E118" s="12" t="s">
        <v>37</v>
      </c>
      <c r="F118" s="12" t="s">
        <v>24</v>
      </c>
      <c r="G118" s="12" t="s">
        <v>21</v>
      </c>
      <c r="H118" s="12" t="s">
        <v>29</v>
      </c>
      <c r="I118" s="12">
        <v>9</v>
      </c>
      <c r="J118" s="12">
        <v>450</v>
      </c>
      <c r="K118" s="13">
        <v>0.2</v>
      </c>
      <c r="L118" s="12">
        <v>315</v>
      </c>
      <c r="M118" s="12">
        <f t="shared" si="7"/>
        <v>3240</v>
      </c>
      <c r="N118" s="14">
        <f t="shared" si="8"/>
        <v>405</v>
      </c>
      <c r="O118" s="14" t="str">
        <f t="shared" si="9"/>
        <v>F</v>
      </c>
    </row>
    <row r="119" spans="1:15" ht="14.4" x14ac:dyDescent="0.3">
      <c r="A119" s="10">
        <v>45760</v>
      </c>
      <c r="B119" s="11" t="str">
        <f t="shared" si="5"/>
        <v>2025</v>
      </c>
      <c r="C119" s="11" t="str">
        <f t="shared" si="6"/>
        <v>Apr</v>
      </c>
      <c r="D119" s="12">
        <v>1478</v>
      </c>
      <c r="E119" s="12" t="s">
        <v>27</v>
      </c>
      <c r="F119" s="12" t="s">
        <v>38</v>
      </c>
      <c r="G119" s="12" t="s">
        <v>25</v>
      </c>
      <c r="H119" s="12" t="s">
        <v>41</v>
      </c>
      <c r="I119" s="12">
        <v>10</v>
      </c>
      <c r="J119" s="12">
        <v>449</v>
      </c>
      <c r="K119" s="13">
        <v>0.25</v>
      </c>
      <c r="L119" s="12">
        <v>314.3</v>
      </c>
      <c r="M119" s="12">
        <f t="shared" si="7"/>
        <v>3367.5</v>
      </c>
      <c r="N119" s="14">
        <f t="shared" si="8"/>
        <v>224.5</v>
      </c>
      <c r="O119" s="14" t="str">
        <f t="shared" si="9"/>
        <v>F</v>
      </c>
    </row>
    <row r="120" spans="1:15" ht="14.4" x14ac:dyDescent="0.3">
      <c r="A120" s="10">
        <v>45757</v>
      </c>
      <c r="B120" s="11" t="str">
        <f t="shared" si="5"/>
        <v>2025</v>
      </c>
      <c r="C120" s="11" t="str">
        <f t="shared" si="6"/>
        <v>Apr</v>
      </c>
      <c r="D120" s="12">
        <v>1490</v>
      </c>
      <c r="E120" s="12" t="s">
        <v>30</v>
      </c>
      <c r="F120" s="12" t="s">
        <v>20</v>
      </c>
      <c r="G120" s="12" t="s">
        <v>25</v>
      </c>
      <c r="H120" s="12" t="s">
        <v>29</v>
      </c>
      <c r="I120" s="12">
        <v>2</v>
      </c>
      <c r="J120" s="12">
        <v>202</v>
      </c>
      <c r="K120" s="13">
        <v>0.25</v>
      </c>
      <c r="L120" s="12">
        <v>141.4</v>
      </c>
      <c r="M120" s="12">
        <f t="shared" si="7"/>
        <v>303</v>
      </c>
      <c r="N120" s="14">
        <f t="shared" si="8"/>
        <v>20.199999999999989</v>
      </c>
      <c r="O120" s="14" t="str">
        <f t="shared" si="9"/>
        <v>F</v>
      </c>
    </row>
    <row r="121" spans="1:15" ht="14.4" x14ac:dyDescent="0.3">
      <c r="A121" s="10">
        <v>45756</v>
      </c>
      <c r="B121" s="11" t="str">
        <f t="shared" si="5"/>
        <v>2025</v>
      </c>
      <c r="C121" s="11" t="str">
        <f t="shared" si="6"/>
        <v>Apr</v>
      </c>
      <c r="D121" s="12">
        <v>1135</v>
      </c>
      <c r="E121" s="12" t="s">
        <v>37</v>
      </c>
      <c r="F121" s="12" t="s">
        <v>16</v>
      </c>
      <c r="G121" s="12" t="s">
        <v>34</v>
      </c>
      <c r="H121" s="12" t="s">
        <v>18</v>
      </c>
      <c r="I121" s="12">
        <v>7</v>
      </c>
      <c r="J121" s="12">
        <v>184</v>
      </c>
      <c r="K121" s="13">
        <v>0.15</v>
      </c>
      <c r="L121" s="12">
        <v>128.80000000000001</v>
      </c>
      <c r="M121" s="12">
        <f t="shared" si="7"/>
        <v>1094.8</v>
      </c>
      <c r="N121" s="14">
        <f t="shared" si="8"/>
        <v>193.19999999999982</v>
      </c>
      <c r="O121" s="14" t="str">
        <f t="shared" si="9"/>
        <v>F</v>
      </c>
    </row>
    <row r="122" spans="1:15" ht="14.4" x14ac:dyDescent="0.3">
      <c r="A122" s="10">
        <v>45756</v>
      </c>
      <c r="B122" s="11" t="str">
        <f t="shared" si="5"/>
        <v>2025</v>
      </c>
      <c r="C122" s="11" t="str">
        <f t="shared" si="6"/>
        <v>Apr</v>
      </c>
      <c r="D122" s="12">
        <v>1211</v>
      </c>
      <c r="E122" s="12" t="s">
        <v>42</v>
      </c>
      <c r="F122" s="12" t="s">
        <v>38</v>
      </c>
      <c r="G122" s="12" t="s">
        <v>28</v>
      </c>
      <c r="H122" s="12" t="s">
        <v>41</v>
      </c>
      <c r="I122" s="12">
        <v>6</v>
      </c>
      <c r="J122" s="12">
        <v>434</v>
      </c>
      <c r="K122" s="13">
        <v>0.15</v>
      </c>
      <c r="L122" s="12">
        <v>303.8</v>
      </c>
      <c r="M122" s="12">
        <f t="shared" si="7"/>
        <v>2213.4</v>
      </c>
      <c r="N122" s="14">
        <f t="shared" si="8"/>
        <v>390.59999999999991</v>
      </c>
      <c r="O122" s="14" t="str">
        <f t="shared" si="9"/>
        <v>F</v>
      </c>
    </row>
    <row r="123" spans="1:15" ht="14.4" x14ac:dyDescent="0.3">
      <c r="A123" s="10">
        <v>45756</v>
      </c>
      <c r="B123" s="11" t="str">
        <f t="shared" si="5"/>
        <v>2025</v>
      </c>
      <c r="C123" s="11" t="str">
        <f t="shared" si="6"/>
        <v>Apr</v>
      </c>
      <c r="D123" s="12">
        <v>1374</v>
      </c>
      <c r="E123" s="12" t="s">
        <v>35</v>
      </c>
      <c r="F123" s="12" t="s">
        <v>38</v>
      </c>
      <c r="G123" s="12" t="s">
        <v>21</v>
      </c>
      <c r="H123" s="12" t="s">
        <v>29</v>
      </c>
      <c r="I123" s="12">
        <v>9</v>
      </c>
      <c r="J123" s="12">
        <v>433</v>
      </c>
      <c r="K123" s="13">
        <v>0.2</v>
      </c>
      <c r="L123" s="12">
        <v>303.10000000000002</v>
      </c>
      <c r="M123" s="12">
        <f t="shared" si="7"/>
        <v>3117.6000000000004</v>
      </c>
      <c r="N123" s="14">
        <f t="shared" si="8"/>
        <v>389.70000000000027</v>
      </c>
      <c r="O123" s="14" t="str">
        <f t="shared" si="9"/>
        <v>F</v>
      </c>
    </row>
    <row r="124" spans="1:15" ht="14.4" x14ac:dyDescent="0.3">
      <c r="A124" s="10">
        <v>45754</v>
      </c>
      <c r="B124" s="11" t="str">
        <f t="shared" si="5"/>
        <v>2025</v>
      </c>
      <c r="C124" s="11" t="str">
        <f t="shared" si="6"/>
        <v>Apr</v>
      </c>
      <c r="D124" s="12">
        <v>1489</v>
      </c>
      <c r="E124" s="12" t="s">
        <v>37</v>
      </c>
      <c r="F124" s="12" t="s">
        <v>24</v>
      </c>
      <c r="G124" s="12" t="s">
        <v>21</v>
      </c>
      <c r="H124" s="12" t="s">
        <v>22</v>
      </c>
      <c r="I124" s="12">
        <v>6</v>
      </c>
      <c r="J124" s="12">
        <v>100</v>
      </c>
      <c r="K124" s="13">
        <v>0.05</v>
      </c>
      <c r="L124" s="12">
        <v>70</v>
      </c>
      <c r="M124" s="12">
        <f t="shared" si="7"/>
        <v>570</v>
      </c>
      <c r="N124" s="14">
        <f t="shared" si="8"/>
        <v>150</v>
      </c>
      <c r="O124" s="14" t="str">
        <f t="shared" si="9"/>
        <v>F</v>
      </c>
    </row>
    <row r="125" spans="1:15" ht="14.4" x14ac:dyDescent="0.3">
      <c r="A125" s="10">
        <v>45751</v>
      </c>
      <c r="B125" s="11" t="str">
        <f t="shared" si="5"/>
        <v>2025</v>
      </c>
      <c r="C125" s="11" t="str">
        <f t="shared" si="6"/>
        <v>Apr</v>
      </c>
      <c r="D125" s="12">
        <v>1271</v>
      </c>
      <c r="E125" s="12" t="s">
        <v>27</v>
      </c>
      <c r="F125" s="12" t="s">
        <v>24</v>
      </c>
      <c r="G125" s="12" t="s">
        <v>17</v>
      </c>
      <c r="H125" s="12" t="s">
        <v>29</v>
      </c>
      <c r="I125" s="12">
        <v>5</v>
      </c>
      <c r="J125" s="12">
        <v>252</v>
      </c>
      <c r="K125" s="13">
        <v>0.3</v>
      </c>
      <c r="L125" s="12">
        <v>176.4</v>
      </c>
      <c r="M125" s="12">
        <f t="shared" si="7"/>
        <v>882</v>
      </c>
      <c r="N125" s="14">
        <f t="shared" si="8"/>
        <v>0</v>
      </c>
      <c r="O125" s="14" t="str">
        <f t="shared" si="9"/>
        <v>F</v>
      </c>
    </row>
    <row r="126" spans="1:15" ht="14.4" x14ac:dyDescent="0.3">
      <c r="A126" s="10">
        <v>45750</v>
      </c>
      <c r="B126" s="11" t="str">
        <f t="shared" si="5"/>
        <v>2025</v>
      </c>
      <c r="C126" s="11" t="str">
        <f t="shared" si="6"/>
        <v>Apr</v>
      </c>
      <c r="D126" s="12">
        <v>1117</v>
      </c>
      <c r="E126" s="12" t="s">
        <v>32</v>
      </c>
      <c r="F126" s="12" t="s">
        <v>24</v>
      </c>
      <c r="G126" s="12" t="s">
        <v>34</v>
      </c>
      <c r="H126" s="12" t="s">
        <v>18</v>
      </c>
      <c r="I126" s="12">
        <v>7</v>
      </c>
      <c r="J126" s="12">
        <v>394</v>
      </c>
      <c r="K126" s="13">
        <v>0.05</v>
      </c>
      <c r="L126" s="12">
        <v>275.8</v>
      </c>
      <c r="M126" s="12">
        <f t="shared" si="7"/>
        <v>2620.1</v>
      </c>
      <c r="N126" s="14">
        <f t="shared" si="8"/>
        <v>689.49999999999977</v>
      </c>
      <c r="O126" s="14" t="str">
        <f t="shared" si="9"/>
        <v>F</v>
      </c>
    </row>
    <row r="127" spans="1:15" ht="14.4" x14ac:dyDescent="0.3">
      <c r="A127" s="10">
        <v>45749</v>
      </c>
      <c r="B127" s="11" t="str">
        <f t="shared" si="5"/>
        <v>2025</v>
      </c>
      <c r="C127" s="11" t="str">
        <f t="shared" si="6"/>
        <v>Apr</v>
      </c>
      <c r="D127" s="12">
        <v>1291</v>
      </c>
      <c r="E127" s="12" t="s">
        <v>32</v>
      </c>
      <c r="F127" s="12" t="s">
        <v>20</v>
      </c>
      <c r="G127" s="12" t="s">
        <v>25</v>
      </c>
      <c r="H127" s="12" t="s">
        <v>31</v>
      </c>
      <c r="I127" s="12">
        <v>5</v>
      </c>
      <c r="J127" s="12">
        <v>308</v>
      </c>
      <c r="K127" s="13">
        <v>0.1</v>
      </c>
      <c r="L127" s="12">
        <v>215.6</v>
      </c>
      <c r="M127" s="12">
        <f t="shared" si="7"/>
        <v>1386</v>
      </c>
      <c r="N127" s="14">
        <f t="shared" si="8"/>
        <v>308</v>
      </c>
      <c r="O127" s="14" t="str">
        <f t="shared" si="9"/>
        <v>F</v>
      </c>
    </row>
    <row r="128" spans="1:15" ht="14.4" x14ac:dyDescent="0.3">
      <c r="A128" s="10">
        <v>45748</v>
      </c>
      <c r="B128" s="11" t="str">
        <f t="shared" si="5"/>
        <v>2025</v>
      </c>
      <c r="C128" s="11" t="str">
        <f t="shared" si="6"/>
        <v>Apr</v>
      </c>
      <c r="D128" s="12">
        <v>1086</v>
      </c>
      <c r="E128" s="12" t="s">
        <v>35</v>
      </c>
      <c r="F128" s="12" t="s">
        <v>38</v>
      </c>
      <c r="G128" s="12" t="s">
        <v>21</v>
      </c>
      <c r="H128" s="12" t="s">
        <v>22</v>
      </c>
      <c r="I128" s="12">
        <v>4</v>
      </c>
      <c r="J128" s="12">
        <v>451</v>
      </c>
      <c r="K128" s="13">
        <v>0.2</v>
      </c>
      <c r="L128" s="12">
        <v>315.7</v>
      </c>
      <c r="M128" s="12">
        <f t="shared" si="7"/>
        <v>1443.2</v>
      </c>
      <c r="N128" s="14">
        <f t="shared" si="8"/>
        <v>180.40000000000009</v>
      </c>
      <c r="O128" s="14" t="str">
        <f t="shared" si="9"/>
        <v>F</v>
      </c>
    </row>
    <row r="129" spans="1:15" ht="14.4" x14ac:dyDescent="0.3">
      <c r="A129" s="10">
        <v>45748</v>
      </c>
      <c r="B129" s="11" t="str">
        <f t="shared" si="5"/>
        <v>2025</v>
      </c>
      <c r="C129" s="11" t="str">
        <f t="shared" si="6"/>
        <v>Apr</v>
      </c>
      <c r="D129" s="12">
        <v>1290</v>
      </c>
      <c r="E129" s="12" t="s">
        <v>27</v>
      </c>
      <c r="F129" s="12" t="s">
        <v>38</v>
      </c>
      <c r="G129" s="12" t="s">
        <v>33</v>
      </c>
      <c r="H129" s="12" t="s">
        <v>26</v>
      </c>
      <c r="I129" s="12">
        <v>6</v>
      </c>
      <c r="J129" s="12">
        <v>398</v>
      </c>
      <c r="K129" s="13">
        <v>0.25</v>
      </c>
      <c r="L129" s="12">
        <v>278.60000000000002</v>
      </c>
      <c r="M129" s="12">
        <f t="shared" si="7"/>
        <v>1791</v>
      </c>
      <c r="N129" s="14">
        <f t="shared" si="8"/>
        <v>119.39999999999986</v>
      </c>
      <c r="O129" s="14" t="str">
        <f t="shared" si="9"/>
        <v>F</v>
      </c>
    </row>
    <row r="130" spans="1:15" ht="14.4" x14ac:dyDescent="0.3">
      <c r="A130" s="10">
        <v>45746</v>
      </c>
      <c r="B130" s="11" t="str">
        <f t="shared" ref="B130:B193" si="10">TEXT(A130,"yyyy")</f>
        <v>2025</v>
      </c>
      <c r="C130" s="11" t="str">
        <f t="shared" ref="C130:C193" si="11">TEXT(A130,"mmm")</f>
        <v>Mar</v>
      </c>
      <c r="D130" s="12">
        <v>1194</v>
      </c>
      <c r="E130" s="12" t="s">
        <v>30</v>
      </c>
      <c r="F130" s="12" t="s">
        <v>16</v>
      </c>
      <c r="G130" s="12" t="s">
        <v>34</v>
      </c>
      <c r="H130" s="12" t="s">
        <v>41</v>
      </c>
      <c r="I130" s="12">
        <v>6</v>
      </c>
      <c r="J130" s="12">
        <v>94</v>
      </c>
      <c r="K130" s="13">
        <v>0</v>
      </c>
      <c r="L130" s="12">
        <v>65.8</v>
      </c>
      <c r="M130" s="12">
        <f t="shared" ref="M130:M193" si="12">I130*J130*(1-K130)</f>
        <v>564</v>
      </c>
      <c r="N130" s="14">
        <f t="shared" ref="N130:N193" si="13">M130-L130*I130</f>
        <v>169.20000000000005</v>
      </c>
      <c r="O130" s="14" t="str">
        <f t="shared" ref="O130:O193" si="14">IF(COUNTIF(E130:E629,E130)&gt;1,"F","O")</f>
        <v>F</v>
      </c>
    </row>
    <row r="131" spans="1:15" ht="14.4" x14ac:dyDescent="0.3">
      <c r="A131" s="10">
        <v>45746</v>
      </c>
      <c r="B131" s="11" t="str">
        <f t="shared" si="10"/>
        <v>2025</v>
      </c>
      <c r="C131" s="11" t="str">
        <f t="shared" si="11"/>
        <v>Mar</v>
      </c>
      <c r="D131" s="12">
        <v>1476</v>
      </c>
      <c r="E131" s="12" t="s">
        <v>30</v>
      </c>
      <c r="F131" s="12" t="s">
        <v>16</v>
      </c>
      <c r="G131" s="12" t="s">
        <v>17</v>
      </c>
      <c r="H131" s="12" t="s">
        <v>29</v>
      </c>
      <c r="I131" s="12">
        <v>4</v>
      </c>
      <c r="J131" s="12">
        <v>370</v>
      </c>
      <c r="K131" s="13">
        <v>0.2</v>
      </c>
      <c r="L131" s="12">
        <v>259</v>
      </c>
      <c r="M131" s="12">
        <f t="shared" si="12"/>
        <v>1184</v>
      </c>
      <c r="N131" s="14">
        <f t="shared" si="13"/>
        <v>148</v>
      </c>
      <c r="O131" s="14" t="str">
        <f t="shared" si="14"/>
        <v>F</v>
      </c>
    </row>
    <row r="132" spans="1:15" ht="14.4" x14ac:dyDescent="0.3">
      <c r="A132" s="10">
        <v>45746</v>
      </c>
      <c r="B132" s="11" t="str">
        <f t="shared" si="10"/>
        <v>2025</v>
      </c>
      <c r="C132" s="11" t="str">
        <f t="shared" si="11"/>
        <v>Mar</v>
      </c>
      <c r="D132" s="12">
        <v>1260</v>
      </c>
      <c r="E132" s="12" t="s">
        <v>27</v>
      </c>
      <c r="F132" s="12" t="s">
        <v>20</v>
      </c>
      <c r="G132" s="12" t="s">
        <v>28</v>
      </c>
      <c r="H132" s="12" t="s">
        <v>26</v>
      </c>
      <c r="I132" s="12">
        <v>4</v>
      </c>
      <c r="J132" s="12">
        <v>175</v>
      </c>
      <c r="K132" s="13">
        <v>0.05</v>
      </c>
      <c r="L132" s="12">
        <v>122.5</v>
      </c>
      <c r="M132" s="12">
        <f t="shared" si="12"/>
        <v>665</v>
      </c>
      <c r="N132" s="14">
        <f t="shared" si="13"/>
        <v>175</v>
      </c>
      <c r="O132" s="14" t="str">
        <f t="shared" si="14"/>
        <v>F</v>
      </c>
    </row>
    <row r="133" spans="1:15" ht="14.4" x14ac:dyDescent="0.3">
      <c r="A133" s="10">
        <v>45745</v>
      </c>
      <c r="B133" s="11" t="str">
        <f t="shared" si="10"/>
        <v>2025</v>
      </c>
      <c r="C133" s="11" t="str">
        <f t="shared" si="11"/>
        <v>Mar</v>
      </c>
      <c r="D133" s="12">
        <v>1040</v>
      </c>
      <c r="E133" s="12" t="s">
        <v>19</v>
      </c>
      <c r="F133" s="12" t="s">
        <v>24</v>
      </c>
      <c r="G133" s="12" t="s">
        <v>17</v>
      </c>
      <c r="H133" s="12" t="s">
        <v>29</v>
      </c>
      <c r="I133" s="12">
        <v>2</v>
      </c>
      <c r="J133" s="12">
        <v>239</v>
      </c>
      <c r="K133" s="13">
        <v>0.25</v>
      </c>
      <c r="L133" s="12">
        <v>167.3</v>
      </c>
      <c r="M133" s="12">
        <f t="shared" si="12"/>
        <v>358.5</v>
      </c>
      <c r="N133" s="14">
        <f t="shared" si="13"/>
        <v>23.899999999999977</v>
      </c>
      <c r="O133" s="14" t="str">
        <f t="shared" si="14"/>
        <v>F</v>
      </c>
    </row>
    <row r="134" spans="1:15" ht="14.4" x14ac:dyDescent="0.3">
      <c r="A134" s="10">
        <v>45744</v>
      </c>
      <c r="B134" s="11" t="str">
        <f t="shared" si="10"/>
        <v>2025</v>
      </c>
      <c r="C134" s="11" t="str">
        <f t="shared" si="11"/>
        <v>Mar</v>
      </c>
      <c r="D134" s="12">
        <v>1078</v>
      </c>
      <c r="E134" s="12" t="s">
        <v>30</v>
      </c>
      <c r="F134" s="12" t="s">
        <v>16</v>
      </c>
      <c r="G134" s="12" t="s">
        <v>25</v>
      </c>
      <c r="H134" s="12" t="s">
        <v>26</v>
      </c>
      <c r="I134" s="12">
        <v>3</v>
      </c>
      <c r="J134" s="12">
        <v>437</v>
      </c>
      <c r="K134" s="13">
        <v>0.25</v>
      </c>
      <c r="L134" s="12">
        <v>305.89999999999998</v>
      </c>
      <c r="M134" s="12">
        <f t="shared" si="12"/>
        <v>983.25</v>
      </c>
      <c r="N134" s="14">
        <f t="shared" si="13"/>
        <v>65.550000000000068</v>
      </c>
      <c r="O134" s="14" t="str">
        <f t="shared" si="14"/>
        <v>F</v>
      </c>
    </row>
    <row r="135" spans="1:15" ht="14.4" x14ac:dyDescent="0.3">
      <c r="A135" s="10">
        <v>45744</v>
      </c>
      <c r="B135" s="11" t="str">
        <f t="shared" si="10"/>
        <v>2025</v>
      </c>
      <c r="C135" s="11" t="str">
        <f t="shared" si="11"/>
        <v>Mar</v>
      </c>
      <c r="D135" s="12">
        <v>1350</v>
      </c>
      <c r="E135" s="12" t="s">
        <v>23</v>
      </c>
      <c r="F135" s="12" t="s">
        <v>38</v>
      </c>
      <c r="G135" s="12" t="s">
        <v>33</v>
      </c>
      <c r="H135" s="12" t="s">
        <v>18</v>
      </c>
      <c r="I135" s="12">
        <v>9</v>
      </c>
      <c r="J135" s="12">
        <v>389</v>
      </c>
      <c r="K135" s="13">
        <v>0.15</v>
      </c>
      <c r="L135" s="12">
        <v>272.3</v>
      </c>
      <c r="M135" s="12">
        <f t="shared" si="12"/>
        <v>2975.85</v>
      </c>
      <c r="N135" s="14">
        <f t="shared" si="13"/>
        <v>525.14999999999964</v>
      </c>
      <c r="O135" s="14" t="str">
        <f t="shared" si="14"/>
        <v>F</v>
      </c>
    </row>
    <row r="136" spans="1:15" ht="14.4" x14ac:dyDescent="0.3">
      <c r="A136" s="10">
        <v>45744</v>
      </c>
      <c r="B136" s="11" t="str">
        <f t="shared" si="10"/>
        <v>2025</v>
      </c>
      <c r="C136" s="11" t="str">
        <f t="shared" si="11"/>
        <v>Mar</v>
      </c>
      <c r="D136" s="12">
        <v>1225</v>
      </c>
      <c r="E136" s="12" t="s">
        <v>42</v>
      </c>
      <c r="F136" s="12" t="s">
        <v>20</v>
      </c>
      <c r="G136" s="12" t="s">
        <v>33</v>
      </c>
      <c r="H136" s="12" t="s">
        <v>41</v>
      </c>
      <c r="I136" s="12">
        <v>6</v>
      </c>
      <c r="J136" s="12">
        <v>274</v>
      </c>
      <c r="K136" s="13">
        <v>0.3</v>
      </c>
      <c r="L136" s="12">
        <v>191.8</v>
      </c>
      <c r="M136" s="12">
        <f t="shared" si="12"/>
        <v>1150.8</v>
      </c>
      <c r="N136" s="14">
        <f t="shared" si="13"/>
        <v>0</v>
      </c>
      <c r="O136" s="14" t="str">
        <f t="shared" si="14"/>
        <v>F</v>
      </c>
    </row>
    <row r="137" spans="1:15" ht="14.4" x14ac:dyDescent="0.3">
      <c r="A137" s="10">
        <v>45742</v>
      </c>
      <c r="B137" s="11" t="str">
        <f t="shared" si="10"/>
        <v>2025</v>
      </c>
      <c r="C137" s="11" t="str">
        <f t="shared" si="11"/>
        <v>Mar</v>
      </c>
      <c r="D137" s="12">
        <v>1088</v>
      </c>
      <c r="E137" s="12" t="s">
        <v>37</v>
      </c>
      <c r="F137" s="12" t="s">
        <v>20</v>
      </c>
      <c r="G137" s="12" t="s">
        <v>33</v>
      </c>
      <c r="H137" s="12" t="s">
        <v>22</v>
      </c>
      <c r="I137" s="12">
        <v>6</v>
      </c>
      <c r="J137" s="12">
        <v>93</v>
      </c>
      <c r="K137" s="13">
        <v>0.15</v>
      </c>
      <c r="L137" s="12">
        <v>65.099999999999994</v>
      </c>
      <c r="M137" s="12">
        <f t="shared" si="12"/>
        <v>474.3</v>
      </c>
      <c r="N137" s="14">
        <f t="shared" si="13"/>
        <v>83.700000000000045</v>
      </c>
      <c r="O137" s="14" t="str">
        <f t="shared" si="14"/>
        <v>F</v>
      </c>
    </row>
    <row r="138" spans="1:15" ht="14.4" x14ac:dyDescent="0.3">
      <c r="A138" s="10">
        <v>45740</v>
      </c>
      <c r="B138" s="11" t="str">
        <f t="shared" si="10"/>
        <v>2025</v>
      </c>
      <c r="C138" s="11" t="str">
        <f t="shared" si="11"/>
        <v>Mar</v>
      </c>
      <c r="D138" s="12">
        <v>1447</v>
      </c>
      <c r="E138" s="12" t="s">
        <v>23</v>
      </c>
      <c r="F138" s="12" t="s">
        <v>24</v>
      </c>
      <c r="G138" s="12" t="s">
        <v>21</v>
      </c>
      <c r="H138" s="12" t="s">
        <v>26</v>
      </c>
      <c r="I138" s="12">
        <v>3</v>
      </c>
      <c r="J138" s="12">
        <v>480</v>
      </c>
      <c r="K138" s="13">
        <v>0.25</v>
      </c>
      <c r="L138" s="12">
        <v>336</v>
      </c>
      <c r="M138" s="12">
        <f t="shared" si="12"/>
        <v>1080</v>
      </c>
      <c r="N138" s="14">
        <f t="shared" si="13"/>
        <v>72</v>
      </c>
      <c r="O138" s="14" t="str">
        <f t="shared" si="14"/>
        <v>F</v>
      </c>
    </row>
    <row r="139" spans="1:15" ht="14.4" x14ac:dyDescent="0.3">
      <c r="A139" s="10">
        <v>45738</v>
      </c>
      <c r="B139" s="11" t="str">
        <f t="shared" si="10"/>
        <v>2025</v>
      </c>
      <c r="C139" s="11" t="str">
        <f t="shared" si="11"/>
        <v>Mar</v>
      </c>
      <c r="D139" s="12">
        <v>1095</v>
      </c>
      <c r="E139" s="12" t="s">
        <v>30</v>
      </c>
      <c r="F139" s="12" t="s">
        <v>24</v>
      </c>
      <c r="G139" s="12" t="s">
        <v>21</v>
      </c>
      <c r="H139" s="12" t="s">
        <v>36</v>
      </c>
      <c r="I139" s="12">
        <v>7</v>
      </c>
      <c r="J139" s="12">
        <v>320</v>
      </c>
      <c r="K139" s="13">
        <v>0.05</v>
      </c>
      <c r="L139" s="12">
        <v>224</v>
      </c>
      <c r="M139" s="12">
        <f t="shared" si="12"/>
        <v>2128</v>
      </c>
      <c r="N139" s="14">
        <f t="shared" si="13"/>
        <v>560</v>
      </c>
      <c r="O139" s="14" t="str">
        <f t="shared" si="14"/>
        <v>F</v>
      </c>
    </row>
    <row r="140" spans="1:15" ht="14.4" x14ac:dyDescent="0.3">
      <c r="A140" s="10">
        <v>45738</v>
      </c>
      <c r="B140" s="11" t="str">
        <f t="shared" si="10"/>
        <v>2025</v>
      </c>
      <c r="C140" s="11" t="str">
        <f t="shared" si="11"/>
        <v>Mar</v>
      </c>
      <c r="D140" s="12">
        <v>1235</v>
      </c>
      <c r="E140" s="12" t="s">
        <v>27</v>
      </c>
      <c r="F140" s="12" t="s">
        <v>38</v>
      </c>
      <c r="G140" s="12" t="s">
        <v>25</v>
      </c>
      <c r="H140" s="12" t="s">
        <v>41</v>
      </c>
      <c r="I140" s="12">
        <v>7</v>
      </c>
      <c r="J140" s="12">
        <v>229</v>
      </c>
      <c r="K140" s="13">
        <v>0.05</v>
      </c>
      <c r="L140" s="12">
        <v>160.30000000000001</v>
      </c>
      <c r="M140" s="12">
        <f t="shared" si="12"/>
        <v>1522.85</v>
      </c>
      <c r="N140" s="14">
        <f t="shared" si="13"/>
        <v>400.74999999999977</v>
      </c>
      <c r="O140" s="14" t="str">
        <f t="shared" si="14"/>
        <v>F</v>
      </c>
    </row>
    <row r="141" spans="1:15" ht="14.4" x14ac:dyDescent="0.3">
      <c r="A141" s="10">
        <v>45738</v>
      </c>
      <c r="B141" s="11" t="str">
        <f t="shared" si="10"/>
        <v>2025</v>
      </c>
      <c r="C141" s="11" t="str">
        <f t="shared" si="11"/>
        <v>Mar</v>
      </c>
      <c r="D141" s="12">
        <v>1111</v>
      </c>
      <c r="E141" s="12" t="s">
        <v>27</v>
      </c>
      <c r="F141" s="12" t="s">
        <v>20</v>
      </c>
      <c r="G141" s="12" t="s">
        <v>34</v>
      </c>
      <c r="H141" s="12" t="s">
        <v>18</v>
      </c>
      <c r="I141" s="12">
        <v>2</v>
      </c>
      <c r="J141" s="12">
        <v>429</v>
      </c>
      <c r="K141" s="13">
        <v>0.05</v>
      </c>
      <c r="L141" s="12">
        <v>300.3</v>
      </c>
      <c r="M141" s="12">
        <f t="shared" si="12"/>
        <v>815.09999999999991</v>
      </c>
      <c r="N141" s="14">
        <f t="shared" si="13"/>
        <v>214.49999999999989</v>
      </c>
      <c r="O141" s="14" t="str">
        <f t="shared" si="14"/>
        <v>F</v>
      </c>
    </row>
    <row r="142" spans="1:15" ht="14.4" x14ac:dyDescent="0.3">
      <c r="A142" s="10">
        <v>45737</v>
      </c>
      <c r="B142" s="11" t="str">
        <f t="shared" si="10"/>
        <v>2025</v>
      </c>
      <c r="C142" s="11" t="str">
        <f t="shared" si="11"/>
        <v>Mar</v>
      </c>
      <c r="D142" s="12">
        <v>1110</v>
      </c>
      <c r="E142" s="12" t="s">
        <v>35</v>
      </c>
      <c r="F142" s="12" t="s">
        <v>20</v>
      </c>
      <c r="G142" s="12" t="s">
        <v>25</v>
      </c>
      <c r="H142" s="12" t="s">
        <v>26</v>
      </c>
      <c r="I142" s="12">
        <v>8</v>
      </c>
      <c r="J142" s="12">
        <v>237</v>
      </c>
      <c r="K142" s="13">
        <v>0.3</v>
      </c>
      <c r="L142" s="12">
        <v>165.9</v>
      </c>
      <c r="M142" s="12">
        <f t="shared" si="12"/>
        <v>1327.1999999999998</v>
      </c>
      <c r="N142" s="14">
        <f t="shared" si="13"/>
        <v>0</v>
      </c>
      <c r="O142" s="14" t="str">
        <f t="shared" si="14"/>
        <v>F</v>
      </c>
    </row>
    <row r="143" spans="1:15" ht="14.4" x14ac:dyDescent="0.3">
      <c r="A143" s="10">
        <v>45736</v>
      </c>
      <c r="B143" s="11" t="str">
        <f t="shared" si="10"/>
        <v>2025</v>
      </c>
      <c r="C143" s="11" t="str">
        <f t="shared" si="11"/>
        <v>Mar</v>
      </c>
      <c r="D143" s="12">
        <v>1070</v>
      </c>
      <c r="E143" s="12" t="s">
        <v>39</v>
      </c>
      <c r="F143" s="12" t="s">
        <v>20</v>
      </c>
      <c r="G143" s="12" t="s">
        <v>21</v>
      </c>
      <c r="H143" s="12" t="s">
        <v>41</v>
      </c>
      <c r="I143" s="12">
        <v>7</v>
      </c>
      <c r="J143" s="12">
        <v>313</v>
      </c>
      <c r="K143" s="13">
        <v>0.25</v>
      </c>
      <c r="L143" s="12">
        <v>219.1</v>
      </c>
      <c r="M143" s="12">
        <f t="shared" si="12"/>
        <v>1643.25</v>
      </c>
      <c r="N143" s="14">
        <f t="shared" si="13"/>
        <v>109.54999999999995</v>
      </c>
      <c r="O143" s="14" t="str">
        <f t="shared" si="14"/>
        <v>F</v>
      </c>
    </row>
    <row r="144" spans="1:15" ht="14.4" x14ac:dyDescent="0.3">
      <c r="A144" s="10">
        <v>45733</v>
      </c>
      <c r="B144" s="11" t="str">
        <f t="shared" si="10"/>
        <v>2025</v>
      </c>
      <c r="C144" s="11" t="str">
        <f t="shared" si="11"/>
        <v>Mar</v>
      </c>
      <c r="D144" s="12">
        <v>1327</v>
      </c>
      <c r="E144" s="12" t="s">
        <v>35</v>
      </c>
      <c r="F144" s="12" t="s">
        <v>20</v>
      </c>
      <c r="G144" s="12" t="s">
        <v>28</v>
      </c>
      <c r="H144" s="12" t="s">
        <v>36</v>
      </c>
      <c r="I144" s="12">
        <v>7</v>
      </c>
      <c r="J144" s="12">
        <v>303</v>
      </c>
      <c r="K144" s="13">
        <v>0.1</v>
      </c>
      <c r="L144" s="12">
        <v>212.1</v>
      </c>
      <c r="M144" s="12">
        <f t="shared" si="12"/>
        <v>1908.9</v>
      </c>
      <c r="N144" s="14">
        <f t="shared" si="13"/>
        <v>424.20000000000005</v>
      </c>
      <c r="O144" s="14" t="str">
        <f t="shared" si="14"/>
        <v>F</v>
      </c>
    </row>
    <row r="145" spans="1:15" ht="14.4" x14ac:dyDescent="0.3">
      <c r="A145" s="10">
        <v>45732</v>
      </c>
      <c r="B145" s="11" t="str">
        <f t="shared" si="10"/>
        <v>2025</v>
      </c>
      <c r="C145" s="11" t="str">
        <f t="shared" si="11"/>
        <v>Mar</v>
      </c>
      <c r="D145" s="12">
        <v>1288</v>
      </c>
      <c r="E145" s="12" t="s">
        <v>27</v>
      </c>
      <c r="F145" s="12" t="s">
        <v>16</v>
      </c>
      <c r="G145" s="12" t="s">
        <v>25</v>
      </c>
      <c r="H145" s="12" t="s">
        <v>22</v>
      </c>
      <c r="I145" s="12">
        <v>6</v>
      </c>
      <c r="J145" s="12">
        <v>236</v>
      </c>
      <c r="K145" s="13">
        <v>0.1</v>
      </c>
      <c r="L145" s="12">
        <v>165.2</v>
      </c>
      <c r="M145" s="12">
        <f t="shared" si="12"/>
        <v>1274.4000000000001</v>
      </c>
      <c r="N145" s="14">
        <f t="shared" si="13"/>
        <v>283.20000000000016</v>
      </c>
      <c r="O145" s="14" t="str">
        <f t="shared" si="14"/>
        <v>F</v>
      </c>
    </row>
    <row r="146" spans="1:15" ht="14.4" x14ac:dyDescent="0.3">
      <c r="A146" s="10">
        <v>45732</v>
      </c>
      <c r="B146" s="11" t="str">
        <f t="shared" si="10"/>
        <v>2025</v>
      </c>
      <c r="C146" s="11" t="str">
        <f t="shared" si="11"/>
        <v>Mar</v>
      </c>
      <c r="D146" s="12">
        <v>1442</v>
      </c>
      <c r="E146" s="12" t="s">
        <v>27</v>
      </c>
      <c r="F146" s="12" t="s">
        <v>16</v>
      </c>
      <c r="G146" s="12" t="s">
        <v>34</v>
      </c>
      <c r="H146" s="12" t="s">
        <v>36</v>
      </c>
      <c r="I146" s="12">
        <v>10</v>
      </c>
      <c r="J146" s="12">
        <v>409</v>
      </c>
      <c r="K146" s="13">
        <v>0</v>
      </c>
      <c r="L146" s="12">
        <v>286.3</v>
      </c>
      <c r="M146" s="12">
        <f t="shared" si="12"/>
        <v>4090</v>
      </c>
      <c r="N146" s="14">
        <f t="shared" si="13"/>
        <v>1227</v>
      </c>
      <c r="O146" s="14" t="str">
        <f t="shared" si="14"/>
        <v>F</v>
      </c>
    </row>
    <row r="147" spans="1:15" ht="14.4" x14ac:dyDescent="0.3">
      <c r="A147" s="10">
        <v>45732</v>
      </c>
      <c r="B147" s="11" t="str">
        <f t="shared" si="10"/>
        <v>2025</v>
      </c>
      <c r="C147" s="11" t="str">
        <f t="shared" si="11"/>
        <v>Mar</v>
      </c>
      <c r="D147" s="12">
        <v>1453</v>
      </c>
      <c r="E147" s="12" t="s">
        <v>37</v>
      </c>
      <c r="F147" s="12" t="s">
        <v>24</v>
      </c>
      <c r="G147" s="12" t="s">
        <v>17</v>
      </c>
      <c r="H147" s="12" t="s">
        <v>22</v>
      </c>
      <c r="I147" s="12">
        <v>4</v>
      </c>
      <c r="J147" s="12">
        <v>435</v>
      </c>
      <c r="K147" s="13">
        <v>0.3</v>
      </c>
      <c r="L147" s="12">
        <v>304.5</v>
      </c>
      <c r="M147" s="12">
        <f t="shared" si="12"/>
        <v>1218</v>
      </c>
      <c r="N147" s="14">
        <f t="shared" si="13"/>
        <v>0</v>
      </c>
      <c r="O147" s="14" t="str">
        <f t="shared" si="14"/>
        <v>F</v>
      </c>
    </row>
    <row r="148" spans="1:15" ht="14.4" x14ac:dyDescent="0.3">
      <c r="A148" s="10">
        <v>45732</v>
      </c>
      <c r="B148" s="11" t="str">
        <f t="shared" si="10"/>
        <v>2025</v>
      </c>
      <c r="C148" s="11" t="str">
        <f t="shared" si="11"/>
        <v>Mar</v>
      </c>
      <c r="D148" s="12">
        <v>1226</v>
      </c>
      <c r="E148" s="12" t="s">
        <v>37</v>
      </c>
      <c r="F148" s="12" t="s">
        <v>20</v>
      </c>
      <c r="G148" s="12" t="s">
        <v>28</v>
      </c>
      <c r="H148" s="12" t="s">
        <v>26</v>
      </c>
      <c r="I148" s="12">
        <v>9</v>
      </c>
      <c r="J148" s="12">
        <v>356</v>
      </c>
      <c r="K148" s="13">
        <v>0</v>
      </c>
      <c r="L148" s="12">
        <v>249.2</v>
      </c>
      <c r="M148" s="12">
        <f t="shared" si="12"/>
        <v>3204</v>
      </c>
      <c r="N148" s="14">
        <f t="shared" si="13"/>
        <v>961.20000000000027</v>
      </c>
      <c r="O148" s="14" t="str">
        <f t="shared" si="14"/>
        <v>F</v>
      </c>
    </row>
    <row r="149" spans="1:15" ht="14.4" x14ac:dyDescent="0.3">
      <c r="A149" s="10">
        <v>45731</v>
      </c>
      <c r="B149" s="11" t="str">
        <f t="shared" si="10"/>
        <v>2025</v>
      </c>
      <c r="C149" s="11" t="str">
        <f t="shared" si="11"/>
        <v>Mar</v>
      </c>
      <c r="D149" s="12">
        <v>1492</v>
      </c>
      <c r="E149" s="12" t="s">
        <v>15</v>
      </c>
      <c r="F149" s="12" t="s">
        <v>38</v>
      </c>
      <c r="G149" s="12" t="s">
        <v>34</v>
      </c>
      <c r="H149" s="12" t="s">
        <v>36</v>
      </c>
      <c r="I149" s="12">
        <v>5</v>
      </c>
      <c r="J149" s="12">
        <v>112</v>
      </c>
      <c r="K149" s="13">
        <v>0.1</v>
      </c>
      <c r="L149" s="12">
        <v>78.399999999999991</v>
      </c>
      <c r="M149" s="12">
        <f t="shared" si="12"/>
        <v>504</v>
      </c>
      <c r="N149" s="14">
        <f t="shared" si="13"/>
        <v>112.00000000000006</v>
      </c>
      <c r="O149" s="14" t="str">
        <f t="shared" si="14"/>
        <v>F</v>
      </c>
    </row>
    <row r="150" spans="1:15" ht="14.4" x14ac:dyDescent="0.3">
      <c r="A150" s="10">
        <v>45730</v>
      </c>
      <c r="B150" s="11" t="str">
        <f t="shared" si="10"/>
        <v>2025</v>
      </c>
      <c r="C150" s="11" t="str">
        <f t="shared" si="11"/>
        <v>Mar</v>
      </c>
      <c r="D150" s="12">
        <v>1483</v>
      </c>
      <c r="E150" s="12" t="s">
        <v>35</v>
      </c>
      <c r="F150" s="12" t="s">
        <v>16</v>
      </c>
      <c r="G150" s="12" t="s">
        <v>33</v>
      </c>
      <c r="H150" s="12" t="s">
        <v>18</v>
      </c>
      <c r="I150" s="12">
        <v>1</v>
      </c>
      <c r="J150" s="12">
        <v>403</v>
      </c>
      <c r="K150" s="13">
        <v>0.25</v>
      </c>
      <c r="L150" s="12">
        <v>282.10000000000002</v>
      </c>
      <c r="M150" s="12">
        <f t="shared" si="12"/>
        <v>302.25</v>
      </c>
      <c r="N150" s="14">
        <f t="shared" si="13"/>
        <v>20.149999999999977</v>
      </c>
      <c r="O150" s="14" t="str">
        <f t="shared" si="14"/>
        <v>F</v>
      </c>
    </row>
    <row r="151" spans="1:15" ht="14.4" x14ac:dyDescent="0.3">
      <c r="A151" s="10">
        <v>45729</v>
      </c>
      <c r="B151" s="11" t="str">
        <f t="shared" si="10"/>
        <v>2025</v>
      </c>
      <c r="C151" s="11" t="str">
        <f t="shared" si="11"/>
        <v>Mar</v>
      </c>
      <c r="D151" s="12">
        <v>1212</v>
      </c>
      <c r="E151" s="12" t="s">
        <v>39</v>
      </c>
      <c r="F151" s="12" t="s">
        <v>20</v>
      </c>
      <c r="G151" s="12" t="s">
        <v>34</v>
      </c>
      <c r="H151" s="12" t="s">
        <v>40</v>
      </c>
      <c r="I151" s="12">
        <v>8</v>
      </c>
      <c r="J151" s="12">
        <v>426</v>
      </c>
      <c r="K151" s="13">
        <v>0.1</v>
      </c>
      <c r="L151" s="12">
        <v>298.2</v>
      </c>
      <c r="M151" s="12">
        <f t="shared" si="12"/>
        <v>3067.2000000000003</v>
      </c>
      <c r="N151" s="14">
        <f t="shared" si="13"/>
        <v>681.60000000000036</v>
      </c>
      <c r="O151" s="14" t="str">
        <f t="shared" si="14"/>
        <v>F</v>
      </c>
    </row>
    <row r="152" spans="1:15" ht="14.4" x14ac:dyDescent="0.3">
      <c r="A152" s="10">
        <v>45728</v>
      </c>
      <c r="B152" s="11" t="str">
        <f t="shared" si="10"/>
        <v>2025</v>
      </c>
      <c r="C152" s="11" t="str">
        <f t="shared" si="11"/>
        <v>Mar</v>
      </c>
      <c r="D152" s="12">
        <v>1206</v>
      </c>
      <c r="E152" s="12" t="s">
        <v>37</v>
      </c>
      <c r="F152" s="12" t="s">
        <v>38</v>
      </c>
      <c r="G152" s="12" t="s">
        <v>28</v>
      </c>
      <c r="H152" s="12" t="s">
        <v>26</v>
      </c>
      <c r="I152" s="12">
        <v>2</v>
      </c>
      <c r="J152" s="12">
        <v>177</v>
      </c>
      <c r="K152" s="13">
        <v>0</v>
      </c>
      <c r="L152" s="12">
        <v>123.9</v>
      </c>
      <c r="M152" s="12">
        <f t="shared" si="12"/>
        <v>354</v>
      </c>
      <c r="N152" s="14">
        <f t="shared" si="13"/>
        <v>106.19999999999999</v>
      </c>
      <c r="O152" s="14" t="str">
        <f t="shared" si="14"/>
        <v>F</v>
      </c>
    </row>
    <row r="153" spans="1:15" ht="14.4" x14ac:dyDescent="0.3">
      <c r="A153" s="10">
        <v>45725</v>
      </c>
      <c r="B153" s="11" t="str">
        <f t="shared" si="10"/>
        <v>2025</v>
      </c>
      <c r="C153" s="11" t="str">
        <f t="shared" si="11"/>
        <v>Mar</v>
      </c>
      <c r="D153" s="12">
        <v>1057</v>
      </c>
      <c r="E153" s="12" t="s">
        <v>23</v>
      </c>
      <c r="F153" s="12" t="s">
        <v>24</v>
      </c>
      <c r="G153" s="12" t="s">
        <v>17</v>
      </c>
      <c r="H153" s="12" t="s">
        <v>36</v>
      </c>
      <c r="I153" s="12">
        <v>3</v>
      </c>
      <c r="J153" s="12">
        <v>138</v>
      </c>
      <c r="K153" s="13">
        <v>0</v>
      </c>
      <c r="L153" s="12">
        <v>96.6</v>
      </c>
      <c r="M153" s="12">
        <f t="shared" si="12"/>
        <v>414</v>
      </c>
      <c r="N153" s="14">
        <f t="shared" si="13"/>
        <v>124.20000000000005</v>
      </c>
      <c r="O153" s="14" t="str">
        <f t="shared" si="14"/>
        <v>F</v>
      </c>
    </row>
    <row r="154" spans="1:15" ht="14.4" x14ac:dyDescent="0.3">
      <c r="A154" s="10">
        <v>45724</v>
      </c>
      <c r="B154" s="11" t="str">
        <f t="shared" si="10"/>
        <v>2025</v>
      </c>
      <c r="C154" s="11" t="str">
        <f t="shared" si="11"/>
        <v>Mar</v>
      </c>
      <c r="D154" s="12">
        <v>1039</v>
      </c>
      <c r="E154" s="12" t="s">
        <v>35</v>
      </c>
      <c r="F154" s="12" t="s">
        <v>20</v>
      </c>
      <c r="G154" s="12" t="s">
        <v>21</v>
      </c>
      <c r="H154" s="12" t="s">
        <v>18</v>
      </c>
      <c r="I154" s="12">
        <v>2</v>
      </c>
      <c r="J154" s="12">
        <v>320</v>
      </c>
      <c r="K154" s="13">
        <v>0.2</v>
      </c>
      <c r="L154" s="12">
        <v>224</v>
      </c>
      <c r="M154" s="12">
        <f t="shared" si="12"/>
        <v>512</v>
      </c>
      <c r="N154" s="14">
        <f t="shared" si="13"/>
        <v>64</v>
      </c>
      <c r="O154" s="14" t="str">
        <f t="shared" si="14"/>
        <v>F</v>
      </c>
    </row>
    <row r="155" spans="1:15" ht="14.4" x14ac:dyDescent="0.3">
      <c r="A155" s="10">
        <v>45723</v>
      </c>
      <c r="B155" s="11" t="str">
        <f t="shared" si="10"/>
        <v>2025</v>
      </c>
      <c r="C155" s="11" t="str">
        <f t="shared" si="11"/>
        <v>Mar</v>
      </c>
      <c r="D155" s="12">
        <v>1100</v>
      </c>
      <c r="E155" s="12" t="s">
        <v>23</v>
      </c>
      <c r="F155" s="12" t="s">
        <v>24</v>
      </c>
      <c r="G155" s="12" t="s">
        <v>21</v>
      </c>
      <c r="H155" s="12" t="s">
        <v>29</v>
      </c>
      <c r="I155" s="12">
        <v>9</v>
      </c>
      <c r="J155" s="12">
        <v>262</v>
      </c>
      <c r="K155" s="13">
        <v>0.15</v>
      </c>
      <c r="L155" s="12">
        <v>183.4</v>
      </c>
      <c r="M155" s="12">
        <f t="shared" si="12"/>
        <v>2004.3</v>
      </c>
      <c r="N155" s="14">
        <f t="shared" si="13"/>
        <v>353.69999999999982</v>
      </c>
      <c r="O155" s="14" t="str">
        <f t="shared" si="14"/>
        <v>F</v>
      </c>
    </row>
    <row r="156" spans="1:15" ht="14.4" x14ac:dyDescent="0.3">
      <c r="A156" s="10">
        <v>45722</v>
      </c>
      <c r="B156" s="11" t="str">
        <f t="shared" si="10"/>
        <v>2025</v>
      </c>
      <c r="C156" s="11" t="str">
        <f t="shared" si="11"/>
        <v>Mar</v>
      </c>
      <c r="D156" s="12">
        <v>1092</v>
      </c>
      <c r="E156" s="12" t="s">
        <v>42</v>
      </c>
      <c r="F156" s="12" t="s">
        <v>24</v>
      </c>
      <c r="G156" s="12" t="s">
        <v>25</v>
      </c>
      <c r="H156" s="12" t="s">
        <v>31</v>
      </c>
      <c r="I156" s="12">
        <v>8</v>
      </c>
      <c r="J156" s="12">
        <v>319</v>
      </c>
      <c r="K156" s="13">
        <v>0.2</v>
      </c>
      <c r="L156" s="12">
        <v>223.3</v>
      </c>
      <c r="M156" s="12">
        <f t="shared" si="12"/>
        <v>2041.6000000000001</v>
      </c>
      <c r="N156" s="14">
        <f t="shared" si="13"/>
        <v>255.20000000000005</v>
      </c>
      <c r="O156" s="14" t="str">
        <f t="shared" si="14"/>
        <v>F</v>
      </c>
    </row>
    <row r="157" spans="1:15" ht="14.4" x14ac:dyDescent="0.3">
      <c r="A157" s="10">
        <v>45721</v>
      </c>
      <c r="B157" s="11" t="str">
        <f t="shared" si="10"/>
        <v>2025</v>
      </c>
      <c r="C157" s="11" t="str">
        <f t="shared" si="11"/>
        <v>Mar</v>
      </c>
      <c r="D157" s="12">
        <v>1192</v>
      </c>
      <c r="E157" s="12" t="s">
        <v>27</v>
      </c>
      <c r="F157" s="12" t="s">
        <v>16</v>
      </c>
      <c r="G157" s="12" t="s">
        <v>21</v>
      </c>
      <c r="H157" s="12" t="s">
        <v>41</v>
      </c>
      <c r="I157" s="12">
        <v>8</v>
      </c>
      <c r="J157" s="12">
        <v>115</v>
      </c>
      <c r="K157" s="13">
        <v>0.25</v>
      </c>
      <c r="L157" s="12">
        <v>80.5</v>
      </c>
      <c r="M157" s="12">
        <f t="shared" si="12"/>
        <v>690</v>
      </c>
      <c r="N157" s="14">
        <f t="shared" si="13"/>
        <v>46</v>
      </c>
      <c r="O157" s="14" t="str">
        <f t="shared" si="14"/>
        <v>F</v>
      </c>
    </row>
    <row r="158" spans="1:15" ht="14.4" x14ac:dyDescent="0.3">
      <c r="A158" s="10">
        <v>45721</v>
      </c>
      <c r="B158" s="11" t="str">
        <f t="shared" si="10"/>
        <v>2025</v>
      </c>
      <c r="C158" s="11" t="str">
        <f t="shared" si="11"/>
        <v>Mar</v>
      </c>
      <c r="D158" s="12">
        <v>1384</v>
      </c>
      <c r="E158" s="12" t="s">
        <v>27</v>
      </c>
      <c r="F158" s="12" t="s">
        <v>24</v>
      </c>
      <c r="G158" s="12" t="s">
        <v>33</v>
      </c>
      <c r="H158" s="12" t="s">
        <v>18</v>
      </c>
      <c r="I158" s="12">
        <v>2</v>
      </c>
      <c r="J158" s="12">
        <v>424</v>
      </c>
      <c r="K158" s="13">
        <v>0.05</v>
      </c>
      <c r="L158" s="12">
        <v>296.8</v>
      </c>
      <c r="M158" s="12">
        <f t="shared" si="12"/>
        <v>805.59999999999991</v>
      </c>
      <c r="N158" s="14">
        <f t="shared" si="13"/>
        <v>211.99999999999989</v>
      </c>
      <c r="O158" s="14" t="str">
        <f t="shared" si="14"/>
        <v>F</v>
      </c>
    </row>
    <row r="159" spans="1:15" ht="14.4" x14ac:dyDescent="0.3">
      <c r="A159" s="10">
        <v>45721</v>
      </c>
      <c r="B159" s="11" t="str">
        <f t="shared" si="10"/>
        <v>2025</v>
      </c>
      <c r="C159" s="11" t="str">
        <f t="shared" si="11"/>
        <v>Mar</v>
      </c>
      <c r="D159" s="12">
        <v>1222</v>
      </c>
      <c r="E159" s="12" t="s">
        <v>30</v>
      </c>
      <c r="F159" s="12" t="s">
        <v>20</v>
      </c>
      <c r="G159" s="12" t="s">
        <v>33</v>
      </c>
      <c r="H159" s="12" t="s">
        <v>36</v>
      </c>
      <c r="I159" s="12">
        <v>5</v>
      </c>
      <c r="J159" s="12">
        <v>186</v>
      </c>
      <c r="K159" s="13">
        <v>0.2</v>
      </c>
      <c r="L159" s="12">
        <v>130.19999999999999</v>
      </c>
      <c r="M159" s="12">
        <f t="shared" si="12"/>
        <v>744</v>
      </c>
      <c r="N159" s="14">
        <f t="shared" si="13"/>
        <v>93</v>
      </c>
      <c r="O159" s="14" t="str">
        <f t="shared" si="14"/>
        <v>F</v>
      </c>
    </row>
    <row r="160" spans="1:15" ht="14.4" x14ac:dyDescent="0.3">
      <c r="A160" s="10">
        <v>45720</v>
      </c>
      <c r="B160" s="11" t="str">
        <f t="shared" si="10"/>
        <v>2025</v>
      </c>
      <c r="C160" s="11" t="str">
        <f t="shared" si="11"/>
        <v>Mar</v>
      </c>
      <c r="D160" s="12">
        <v>1322</v>
      </c>
      <c r="E160" s="12" t="s">
        <v>15</v>
      </c>
      <c r="F160" s="12" t="s">
        <v>16</v>
      </c>
      <c r="G160" s="12" t="s">
        <v>34</v>
      </c>
      <c r="H160" s="12" t="s">
        <v>36</v>
      </c>
      <c r="I160" s="12">
        <v>4</v>
      </c>
      <c r="J160" s="12">
        <v>109</v>
      </c>
      <c r="K160" s="13">
        <v>0.2</v>
      </c>
      <c r="L160" s="12">
        <v>76.3</v>
      </c>
      <c r="M160" s="12">
        <f t="shared" si="12"/>
        <v>348.8</v>
      </c>
      <c r="N160" s="14">
        <f t="shared" si="13"/>
        <v>43.600000000000023</v>
      </c>
      <c r="O160" s="14" t="str">
        <f t="shared" si="14"/>
        <v>F</v>
      </c>
    </row>
    <row r="161" spans="1:15" ht="14.4" x14ac:dyDescent="0.3">
      <c r="A161" s="10">
        <v>45720</v>
      </c>
      <c r="B161" s="11" t="str">
        <f t="shared" si="10"/>
        <v>2025</v>
      </c>
      <c r="C161" s="11" t="str">
        <f t="shared" si="11"/>
        <v>Mar</v>
      </c>
      <c r="D161" s="12">
        <v>1341</v>
      </c>
      <c r="E161" s="12" t="s">
        <v>35</v>
      </c>
      <c r="F161" s="12" t="s">
        <v>38</v>
      </c>
      <c r="G161" s="12" t="s">
        <v>28</v>
      </c>
      <c r="H161" s="12" t="s">
        <v>18</v>
      </c>
      <c r="I161" s="12">
        <v>7</v>
      </c>
      <c r="J161" s="12">
        <v>169</v>
      </c>
      <c r="K161" s="13">
        <v>0.3</v>
      </c>
      <c r="L161" s="12">
        <v>118.3</v>
      </c>
      <c r="M161" s="12">
        <f t="shared" si="12"/>
        <v>828.09999999999991</v>
      </c>
      <c r="N161" s="14">
        <f t="shared" si="13"/>
        <v>0</v>
      </c>
      <c r="O161" s="14" t="str">
        <f t="shared" si="14"/>
        <v>F</v>
      </c>
    </row>
    <row r="162" spans="1:15" ht="14.4" x14ac:dyDescent="0.3">
      <c r="A162" s="10">
        <v>45714</v>
      </c>
      <c r="B162" s="11" t="str">
        <f t="shared" si="10"/>
        <v>2025</v>
      </c>
      <c r="C162" s="11" t="str">
        <f t="shared" si="11"/>
        <v>Feb</v>
      </c>
      <c r="D162" s="12">
        <v>1064</v>
      </c>
      <c r="E162" s="12" t="s">
        <v>15</v>
      </c>
      <c r="F162" s="12" t="s">
        <v>20</v>
      </c>
      <c r="G162" s="12" t="s">
        <v>33</v>
      </c>
      <c r="H162" s="12" t="s">
        <v>41</v>
      </c>
      <c r="I162" s="12">
        <v>7</v>
      </c>
      <c r="J162" s="12">
        <v>435</v>
      </c>
      <c r="K162" s="13">
        <v>0.3</v>
      </c>
      <c r="L162" s="12">
        <v>304.5</v>
      </c>
      <c r="M162" s="12">
        <f t="shared" si="12"/>
        <v>2131.5</v>
      </c>
      <c r="N162" s="14">
        <f t="shared" si="13"/>
        <v>0</v>
      </c>
      <c r="O162" s="14" t="str">
        <f t="shared" si="14"/>
        <v>F</v>
      </c>
    </row>
    <row r="163" spans="1:15" ht="14.4" x14ac:dyDescent="0.3">
      <c r="A163" s="10">
        <v>45714</v>
      </c>
      <c r="B163" s="11" t="str">
        <f t="shared" si="10"/>
        <v>2025</v>
      </c>
      <c r="C163" s="11" t="str">
        <f t="shared" si="11"/>
        <v>Feb</v>
      </c>
      <c r="D163" s="12">
        <v>1486</v>
      </c>
      <c r="E163" s="12" t="s">
        <v>32</v>
      </c>
      <c r="F163" s="12" t="s">
        <v>20</v>
      </c>
      <c r="G163" s="12" t="s">
        <v>28</v>
      </c>
      <c r="H163" s="12" t="s">
        <v>40</v>
      </c>
      <c r="I163" s="12">
        <v>3</v>
      </c>
      <c r="J163" s="12">
        <v>264</v>
      </c>
      <c r="K163" s="13">
        <v>0.25</v>
      </c>
      <c r="L163" s="12">
        <v>184.8</v>
      </c>
      <c r="M163" s="12">
        <f t="shared" si="12"/>
        <v>594</v>
      </c>
      <c r="N163" s="14">
        <f t="shared" si="13"/>
        <v>39.599999999999909</v>
      </c>
      <c r="O163" s="14" t="str">
        <f t="shared" si="14"/>
        <v>F</v>
      </c>
    </row>
    <row r="164" spans="1:15" ht="14.4" x14ac:dyDescent="0.3">
      <c r="A164" s="10">
        <v>45713</v>
      </c>
      <c r="B164" s="11" t="str">
        <f t="shared" si="10"/>
        <v>2025</v>
      </c>
      <c r="C164" s="11" t="str">
        <f t="shared" si="11"/>
        <v>Feb</v>
      </c>
      <c r="D164" s="12">
        <v>1160</v>
      </c>
      <c r="E164" s="12" t="s">
        <v>32</v>
      </c>
      <c r="F164" s="12" t="s">
        <v>20</v>
      </c>
      <c r="G164" s="12" t="s">
        <v>28</v>
      </c>
      <c r="H164" s="12" t="s">
        <v>26</v>
      </c>
      <c r="I164" s="12">
        <v>7</v>
      </c>
      <c r="J164" s="12">
        <v>447</v>
      </c>
      <c r="K164" s="13">
        <v>0.1</v>
      </c>
      <c r="L164" s="12">
        <v>312.89999999999998</v>
      </c>
      <c r="M164" s="12">
        <f t="shared" si="12"/>
        <v>2816.1</v>
      </c>
      <c r="N164" s="14">
        <f t="shared" si="13"/>
        <v>625.80000000000018</v>
      </c>
      <c r="O164" s="14" t="str">
        <f t="shared" si="14"/>
        <v>F</v>
      </c>
    </row>
    <row r="165" spans="1:15" ht="14.4" x14ac:dyDescent="0.3">
      <c r="A165" s="10">
        <v>45713</v>
      </c>
      <c r="B165" s="11" t="str">
        <f t="shared" si="10"/>
        <v>2025</v>
      </c>
      <c r="C165" s="11" t="str">
        <f t="shared" si="11"/>
        <v>Feb</v>
      </c>
      <c r="D165" s="12">
        <v>1215</v>
      </c>
      <c r="E165" s="12" t="s">
        <v>39</v>
      </c>
      <c r="F165" s="12" t="s">
        <v>38</v>
      </c>
      <c r="G165" s="12" t="s">
        <v>28</v>
      </c>
      <c r="H165" s="12" t="s">
        <v>29</v>
      </c>
      <c r="I165" s="12">
        <v>5</v>
      </c>
      <c r="J165" s="12">
        <v>170</v>
      </c>
      <c r="K165" s="13">
        <v>0.2</v>
      </c>
      <c r="L165" s="12">
        <v>119</v>
      </c>
      <c r="M165" s="12">
        <f t="shared" si="12"/>
        <v>680</v>
      </c>
      <c r="N165" s="14">
        <f t="shared" si="13"/>
        <v>85</v>
      </c>
      <c r="O165" s="14" t="str">
        <f t="shared" si="14"/>
        <v>F</v>
      </c>
    </row>
    <row r="166" spans="1:15" ht="14.4" x14ac:dyDescent="0.3">
      <c r="A166" s="10">
        <v>45710</v>
      </c>
      <c r="B166" s="11" t="str">
        <f t="shared" si="10"/>
        <v>2025</v>
      </c>
      <c r="C166" s="11" t="str">
        <f t="shared" si="11"/>
        <v>Feb</v>
      </c>
      <c r="D166" s="12">
        <v>1193</v>
      </c>
      <c r="E166" s="12" t="s">
        <v>23</v>
      </c>
      <c r="F166" s="12" t="s">
        <v>24</v>
      </c>
      <c r="G166" s="12" t="s">
        <v>28</v>
      </c>
      <c r="H166" s="12" t="s">
        <v>36</v>
      </c>
      <c r="I166" s="12">
        <v>4</v>
      </c>
      <c r="J166" s="12">
        <v>219</v>
      </c>
      <c r="K166" s="13">
        <v>0.15</v>
      </c>
      <c r="L166" s="12">
        <v>153.30000000000001</v>
      </c>
      <c r="M166" s="12">
        <f t="shared" si="12"/>
        <v>744.6</v>
      </c>
      <c r="N166" s="14">
        <f t="shared" si="13"/>
        <v>131.39999999999998</v>
      </c>
      <c r="O166" s="14" t="str">
        <f t="shared" si="14"/>
        <v>F</v>
      </c>
    </row>
    <row r="167" spans="1:15" ht="14.4" x14ac:dyDescent="0.3">
      <c r="A167" s="10">
        <v>45708</v>
      </c>
      <c r="B167" s="11" t="str">
        <f t="shared" si="10"/>
        <v>2025</v>
      </c>
      <c r="C167" s="11" t="str">
        <f t="shared" si="11"/>
        <v>Feb</v>
      </c>
      <c r="D167" s="12">
        <v>1362</v>
      </c>
      <c r="E167" s="12" t="s">
        <v>42</v>
      </c>
      <c r="F167" s="12" t="s">
        <v>20</v>
      </c>
      <c r="G167" s="12" t="s">
        <v>17</v>
      </c>
      <c r="H167" s="12" t="s">
        <v>31</v>
      </c>
      <c r="I167" s="12">
        <v>2</v>
      </c>
      <c r="J167" s="12">
        <v>359</v>
      </c>
      <c r="K167" s="13">
        <v>0.05</v>
      </c>
      <c r="L167" s="12">
        <v>251.3</v>
      </c>
      <c r="M167" s="12">
        <f t="shared" si="12"/>
        <v>682.1</v>
      </c>
      <c r="N167" s="14">
        <f t="shared" si="13"/>
        <v>179.5</v>
      </c>
      <c r="O167" s="14" t="str">
        <f t="shared" si="14"/>
        <v>F</v>
      </c>
    </row>
    <row r="168" spans="1:15" ht="14.4" x14ac:dyDescent="0.3">
      <c r="A168" s="10">
        <v>45706</v>
      </c>
      <c r="B168" s="11" t="str">
        <f t="shared" si="10"/>
        <v>2025</v>
      </c>
      <c r="C168" s="11" t="str">
        <f t="shared" si="11"/>
        <v>Feb</v>
      </c>
      <c r="D168" s="12">
        <v>1047</v>
      </c>
      <c r="E168" s="12" t="s">
        <v>37</v>
      </c>
      <c r="F168" s="12" t="s">
        <v>16</v>
      </c>
      <c r="G168" s="12" t="s">
        <v>25</v>
      </c>
      <c r="H168" s="12" t="s">
        <v>29</v>
      </c>
      <c r="I168" s="12">
        <v>10</v>
      </c>
      <c r="J168" s="12">
        <v>293</v>
      </c>
      <c r="K168" s="13">
        <v>0.05</v>
      </c>
      <c r="L168" s="12">
        <v>205.1</v>
      </c>
      <c r="M168" s="12">
        <f t="shared" si="12"/>
        <v>2783.5</v>
      </c>
      <c r="N168" s="14">
        <f t="shared" si="13"/>
        <v>732.5</v>
      </c>
      <c r="O168" s="14" t="str">
        <f t="shared" si="14"/>
        <v>F</v>
      </c>
    </row>
    <row r="169" spans="1:15" ht="14.4" x14ac:dyDescent="0.3">
      <c r="A169" s="10">
        <v>45705</v>
      </c>
      <c r="B169" s="11" t="str">
        <f t="shared" si="10"/>
        <v>2025</v>
      </c>
      <c r="C169" s="11" t="str">
        <f t="shared" si="11"/>
        <v>Feb</v>
      </c>
      <c r="D169" s="12">
        <v>1139</v>
      </c>
      <c r="E169" s="12" t="s">
        <v>23</v>
      </c>
      <c r="F169" s="12" t="s">
        <v>38</v>
      </c>
      <c r="G169" s="12" t="s">
        <v>21</v>
      </c>
      <c r="H169" s="12" t="s">
        <v>41</v>
      </c>
      <c r="I169" s="12">
        <v>10</v>
      </c>
      <c r="J169" s="12">
        <v>467</v>
      </c>
      <c r="K169" s="13">
        <v>0.2</v>
      </c>
      <c r="L169" s="12">
        <v>326.89999999999998</v>
      </c>
      <c r="M169" s="12">
        <f t="shared" si="12"/>
        <v>3736</v>
      </c>
      <c r="N169" s="14">
        <f t="shared" si="13"/>
        <v>467</v>
      </c>
      <c r="O169" s="14" t="str">
        <f t="shared" si="14"/>
        <v>F</v>
      </c>
    </row>
    <row r="170" spans="1:15" ht="14.4" x14ac:dyDescent="0.3">
      <c r="A170" s="10">
        <v>45703</v>
      </c>
      <c r="B170" s="11" t="str">
        <f t="shared" si="10"/>
        <v>2025</v>
      </c>
      <c r="C170" s="11" t="str">
        <f t="shared" si="11"/>
        <v>Feb</v>
      </c>
      <c r="D170" s="12">
        <v>1042</v>
      </c>
      <c r="E170" s="12" t="s">
        <v>32</v>
      </c>
      <c r="F170" s="12" t="s">
        <v>16</v>
      </c>
      <c r="G170" s="12" t="s">
        <v>21</v>
      </c>
      <c r="H170" s="12" t="s">
        <v>29</v>
      </c>
      <c r="I170" s="12">
        <v>7</v>
      </c>
      <c r="J170" s="12">
        <v>224</v>
      </c>
      <c r="K170" s="13">
        <v>0.3</v>
      </c>
      <c r="L170" s="12">
        <v>156.80000000000001</v>
      </c>
      <c r="M170" s="12">
        <f t="shared" si="12"/>
        <v>1097.5999999999999</v>
      </c>
      <c r="N170" s="14">
        <f t="shared" si="13"/>
        <v>0</v>
      </c>
      <c r="O170" s="14" t="str">
        <f t="shared" si="14"/>
        <v>F</v>
      </c>
    </row>
    <row r="171" spans="1:15" ht="14.4" x14ac:dyDescent="0.3">
      <c r="A171" s="10">
        <v>45703</v>
      </c>
      <c r="B171" s="11" t="str">
        <f t="shared" si="10"/>
        <v>2025</v>
      </c>
      <c r="C171" s="11" t="str">
        <f t="shared" si="11"/>
        <v>Feb</v>
      </c>
      <c r="D171" s="12">
        <v>1146</v>
      </c>
      <c r="E171" s="12" t="s">
        <v>19</v>
      </c>
      <c r="F171" s="12" t="s">
        <v>24</v>
      </c>
      <c r="G171" s="12" t="s">
        <v>21</v>
      </c>
      <c r="H171" s="12" t="s">
        <v>41</v>
      </c>
      <c r="I171" s="12">
        <v>6</v>
      </c>
      <c r="J171" s="12">
        <v>148</v>
      </c>
      <c r="K171" s="13">
        <v>0.2</v>
      </c>
      <c r="L171" s="12">
        <v>103.6</v>
      </c>
      <c r="M171" s="12">
        <f t="shared" si="12"/>
        <v>710.40000000000009</v>
      </c>
      <c r="N171" s="14">
        <f t="shared" si="13"/>
        <v>88.800000000000182</v>
      </c>
      <c r="O171" s="14" t="str">
        <f t="shared" si="14"/>
        <v>F</v>
      </c>
    </row>
    <row r="172" spans="1:15" ht="14.4" x14ac:dyDescent="0.3">
      <c r="A172" s="10">
        <v>45703</v>
      </c>
      <c r="B172" s="11" t="str">
        <f t="shared" si="10"/>
        <v>2025</v>
      </c>
      <c r="C172" s="11" t="str">
        <f t="shared" si="11"/>
        <v>Feb</v>
      </c>
      <c r="D172" s="12">
        <v>1450</v>
      </c>
      <c r="E172" s="12" t="s">
        <v>19</v>
      </c>
      <c r="F172" s="12" t="s">
        <v>38</v>
      </c>
      <c r="G172" s="12" t="s">
        <v>25</v>
      </c>
      <c r="H172" s="12" t="s">
        <v>29</v>
      </c>
      <c r="I172" s="12">
        <v>6</v>
      </c>
      <c r="J172" s="12">
        <v>499</v>
      </c>
      <c r="K172" s="13">
        <v>0.05</v>
      </c>
      <c r="L172" s="12">
        <v>349.3</v>
      </c>
      <c r="M172" s="12">
        <f t="shared" si="12"/>
        <v>2844.2999999999997</v>
      </c>
      <c r="N172" s="14">
        <f t="shared" si="13"/>
        <v>748.49999999999955</v>
      </c>
      <c r="O172" s="14" t="str">
        <f t="shared" si="14"/>
        <v>F</v>
      </c>
    </row>
    <row r="173" spans="1:15" ht="14.4" x14ac:dyDescent="0.3">
      <c r="A173" s="10">
        <v>45702</v>
      </c>
      <c r="B173" s="11" t="str">
        <f t="shared" si="10"/>
        <v>2025</v>
      </c>
      <c r="C173" s="11" t="str">
        <f t="shared" si="11"/>
        <v>Feb</v>
      </c>
      <c r="D173" s="12">
        <v>1068</v>
      </c>
      <c r="E173" s="12" t="s">
        <v>19</v>
      </c>
      <c r="F173" s="12" t="s">
        <v>20</v>
      </c>
      <c r="G173" s="12" t="s">
        <v>17</v>
      </c>
      <c r="H173" s="12" t="s">
        <v>41</v>
      </c>
      <c r="I173" s="12">
        <v>5</v>
      </c>
      <c r="J173" s="12">
        <v>493</v>
      </c>
      <c r="K173" s="13">
        <v>0.1</v>
      </c>
      <c r="L173" s="12">
        <v>345.1</v>
      </c>
      <c r="M173" s="12">
        <f t="shared" si="12"/>
        <v>2218.5</v>
      </c>
      <c r="N173" s="14">
        <f t="shared" si="13"/>
        <v>493</v>
      </c>
      <c r="O173" s="14" t="str">
        <f t="shared" si="14"/>
        <v>F</v>
      </c>
    </row>
    <row r="174" spans="1:15" ht="14.4" x14ac:dyDescent="0.3">
      <c r="A174" s="10">
        <v>45701</v>
      </c>
      <c r="B174" s="11" t="str">
        <f t="shared" si="10"/>
        <v>2025</v>
      </c>
      <c r="C174" s="11" t="str">
        <f t="shared" si="11"/>
        <v>Feb</v>
      </c>
      <c r="D174" s="12">
        <v>1319</v>
      </c>
      <c r="E174" s="12" t="s">
        <v>35</v>
      </c>
      <c r="F174" s="12" t="s">
        <v>20</v>
      </c>
      <c r="G174" s="12" t="s">
        <v>25</v>
      </c>
      <c r="H174" s="12" t="s">
        <v>41</v>
      </c>
      <c r="I174" s="12">
        <v>6</v>
      </c>
      <c r="J174" s="12">
        <v>193</v>
      </c>
      <c r="K174" s="13">
        <v>0.15</v>
      </c>
      <c r="L174" s="12">
        <v>135.1</v>
      </c>
      <c r="M174" s="12">
        <f t="shared" si="12"/>
        <v>984.3</v>
      </c>
      <c r="N174" s="14">
        <f t="shared" si="13"/>
        <v>173.70000000000005</v>
      </c>
      <c r="O174" s="14" t="str">
        <f t="shared" si="14"/>
        <v>F</v>
      </c>
    </row>
    <row r="175" spans="1:15" ht="14.4" x14ac:dyDescent="0.3">
      <c r="A175" s="10">
        <v>45701</v>
      </c>
      <c r="B175" s="11" t="str">
        <f t="shared" si="10"/>
        <v>2025</v>
      </c>
      <c r="C175" s="11" t="str">
        <f t="shared" si="11"/>
        <v>Feb</v>
      </c>
      <c r="D175" s="12">
        <v>1030</v>
      </c>
      <c r="E175" s="12" t="s">
        <v>39</v>
      </c>
      <c r="F175" s="12" t="s">
        <v>38</v>
      </c>
      <c r="G175" s="12" t="s">
        <v>25</v>
      </c>
      <c r="H175" s="12" t="s">
        <v>26</v>
      </c>
      <c r="I175" s="12">
        <v>2</v>
      </c>
      <c r="J175" s="12">
        <v>363</v>
      </c>
      <c r="K175" s="13">
        <v>0</v>
      </c>
      <c r="L175" s="12">
        <v>254.1</v>
      </c>
      <c r="M175" s="12">
        <f t="shared" si="12"/>
        <v>726</v>
      </c>
      <c r="N175" s="14">
        <f t="shared" si="13"/>
        <v>217.8</v>
      </c>
      <c r="O175" s="14" t="str">
        <f t="shared" si="14"/>
        <v>F</v>
      </c>
    </row>
    <row r="176" spans="1:15" ht="14.4" x14ac:dyDescent="0.3">
      <c r="A176" s="10">
        <v>45699</v>
      </c>
      <c r="B176" s="11" t="str">
        <f t="shared" si="10"/>
        <v>2025</v>
      </c>
      <c r="C176" s="11" t="str">
        <f t="shared" si="11"/>
        <v>Feb</v>
      </c>
      <c r="D176" s="12">
        <v>1231</v>
      </c>
      <c r="E176" s="12" t="s">
        <v>32</v>
      </c>
      <c r="F176" s="12" t="s">
        <v>38</v>
      </c>
      <c r="G176" s="12" t="s">
        <v>17</v>
      </c>
      <c r="H176" s="12" t="s">
        <v>26</v>
      </c>
      <c r="I176" s="12">
        <v>2</v>
      </c>
      <c r="J176" s="12">
        <v>423</v>
      </c>
      <c r="K176" s="13">
        <v>0.05</v>
      </c>
      <c r="L176" s="12">
        <v>296.10000000000002</v>
      </c>
      <c r="M176" s="12">
        <f t="shared" si="12"/>
        <v>803.69999999999993</v>
      </c>
      <c r="N176" s="14">
        <f t="shared" si="13"/>
        <v>211.49999999999989</v>
      </c>
      <c r="O176" s="14" t="str">
        <f t="shared" si="14"/>
        <v>F</v>
      </c>
    </row>
    <row r="177" spans="1:15" ht="14.4" x14ac:dyDescent="0.3">
      <c r="A177" s="10">
        <v>45698</v>
      </c>
      <c r="B177" s="11" t="str">
        <f t="shared" si="10"/>
        <v>2025</v>
      </c>
      <c r="C177" s="11" t="str">
        <f t="shared" si="11"/>
        <v>Feb</v>
      </c>
      <c r="D177" s="12">
        <v>1177</v>
      </c>
      <c r="E177" s="12" t="s">
        <v>23</v>
      </c>
      <c r="F177" s="12" t="s">
        <v>24</v>
      </c>
      <c r="G177" s="12" t="s">
        <v>25</v>
      </c>
      <c r="H177" s="12" t="s">
        <v>29</v>
      </c>
      <c r="I177" s="12">
        <v>10</v>
      </c>
      <c r="J177" s="12">
        <v>271</v>
      </c>
      <c r="K177" s="13">
        <v>0.3</v>
      </c>
      <c r="L177" s="12">
        <v>189.7</v>
      </c>
      <c r="M177" s="12">
        <f t="shared" si="12"/>
        <v>1896.9999999999998</v>
      </c>
      <c r="N177" s="14">
        <f t="shared" si="13"/>
        <v>0</v>
      </c>
      <c r="O177" s="14" t="str">
        <f t="shared" si="14"/>
        <v>F</v>
      </c>
    </row>
    <row r="178" spans="1:15" ht="14.4" x14ac:dyDescent="0.3">
      <c r="A178" s="10">
        <v>45698</v>
      </c>
      <c r="B178" s="11" t="str">
        <f t="shared" si="10"/>
        <v>2025</v>
      </c>
      <c r="C178" s="11" t="str">
        <f t="shared" si="11"/>
        <v>Feb</v>
      </c>
      <c r="D178" s="12">
        <v>1441</v>
      </c>
      <c r="E178" s="12" t="s">
        <v>39</v>
      </c>
      <c r="F178" s="12" t="s">
        <v>38</v>
      </c>
      <c r="G178" s="12" t="s">
        <v>34</v>
      </c>
      <c r="H178" s="12" t="s">
        <v>26</v>
      </c>
      <c r="I178" s="12">
        <v>6</v>
      </c>
      <c r="J178" s="12">
        <v>372</v>
      </c>
      <c r="K178" s="13">
        <v>0.25</v>
      </c>
      <c r="L178" s="12">
        <v>260.39999999999998</v>
      </c>
      <c r="M178" s="12">
        <f t="shared" si="12"/>
        <v>1674</v>
      </c>
      <c r="N178" s="14">
        <f t="shared" si="13"/>
        <v>111.60000000000014</v>
      </c>
      <c r="O178" s="14" t="str">
        <f t="shared" si="14"/>
        <v>F</v>
      </c>
    </row>
    <row r="179" spans="1:15" ht="14.4" x14ac:dyDescent="0.3">
      <c r="A179" s="10">
        <v>45698</v>
      </c>
      <c r="B179" s="11" t="str">
        <f t="shared" si="10"/>
        <v>2025</v>
      </c>
      <c r="C179" s="11" t="str">
        <f t="shared" si="11"/>
        <v>Feb</v>
      </c>
      <c r="D179" s="12">
        <v>1498</v>
      </c>
      <c r="E179" s="12" t="s">
        <v>23</v>
      </c>
      <c r="F179" s="12" t="s">
        <v>16</v>
      </c>
      <c r="G179" s="12" t="s">
        <v>21</v>
      </c>
      <c r="H179" s="12" t="s">
        <v>41</v>
      </c>
      <c r="I179" s="12">
        <v>2</v>
      </c>
      <c r="J179" s="12">
        <v>391</v>
      </c>
      <c r="K179" s="13">
        <v>0.25</v>
      </c>
      <c r="L179" s="12">
        <v>273.7</v>
      </c>
      <c r="M179" s="12">
        <f t="shared" si="12"/>
        <v>586.5</v>
      </c>
      <c r="N179" s="14">
        <f t="shared" si="13"/>
        <v>39.100000000000023</v>
      </c>
      <c r="O179" s="14" t="str">
        <f t="shared" si="14"/>
        <v>F</v>
      </c>
    </row>
    <row r="180" spans="1:15" ht="14.4" x14ac:dyDescent="0.3">
      <c r="A180" s="10">
        <v>45695</v>
      </c>
      <c r="B180" s="11" t="str">
        <f t="shared" si="10"/>
        <v>2025</v>
      </c>
      <c r="C180" s="11" t="str">
        <f t="shared" si="11"/>
        <v>Feb</v>
      </c>
      <c r="D180" s="12">
        <v>1445</v>
      </c>
      <c r="E180" s="12" t="s">
        <v>39</v>
      </c>
      <c r="F180" s="12" t="s">
        <v>24</v>
      </c>
      <c r="G180" s="12" t="s">
        <v>25</v>
      </c>
      <c r="H180" s="12" t="s">
        <v>18</v>
      </c>
      <c r="I180" s="12">
        <v>10</v>
      </c>
      <c r="J180" s="12">
        <v>163</v>
      </c>
      <c r="K180" s="13">
        <v>0.2</v>
      </c>
      <c r="L180" s="12">
        <v>114.1</v>
      </c>
      <c r="M180" s="12">
        <f t="shared" si="12"/>
        <v>1304</v>
      </c>
      <c r="N180" s="14">
        <f t="shared" si="13"/>
        <v>163</v>
      </c>
      <c r="O180" s="14" t="str">
        <f t="shared" si="14"/>
        <v>F</v>
      </c>
    </row>
    <row r="181" spans="1:15" ht="14.4" x14ac:dyDescent="0.3">
      <c r="A181" s="10">
        <v>45690</v>
      </c>
      <c r="B181" s="11" t="str">
        <f t="shared" si="10"/>
        <v>2025</v>
      </c>
      <c r="C181" s="11" t="str">
        <f t="shared" si="11"/>
        <v>Feb</v>
      </c>
      <c r="D181" s="12">
        <v>1471</v>
      </c>
      <c r="E181" s="12" t="s">
        <v>42</v>
      </c>
      <c r="F181" s="12" t="s">
        <v>16</v>
      </c>
      <c r="G181" s="12" t="s">
        <v>25</v>
      </c>
      <c r="H181" s="12" t="s">
        <v>31</v>
      </c>
      <c r="I181" s="12">
        <v>7</v>
      </c>
      <c r="J181" s="12">
        <v>440</v>
      </c>
      <c r="K181" s="13">
        <v>0</v>
      </c>
      <c r="L181" s="12">
        <v>308</v>
      </c>
      <c r="M181" s="12">
        <f t="shared" si="12"/>
        <v>3080</v>
      </c>
      <c r="N181" s="14">
        <f t="shared" si="13"/>
        <v>924</v>
      </c>
      <c r="O181" s="14" t="str">
        <f t="shared" si="14"/>
        <v>F</v>
      </c>
    </row>
    <row r="182" spans="1:15" ht="14.4" x14ac:dyDescent="0.3">
      <c r="A182" s="10">
        <v>45689</v>
      </c>
      <c r="B182" s="11" t="str">
        <f t="shared" si="10"/>
        <v>2025</v>
      </c>
      <c r="C182" s="11" t="str">
        <f t="shared" si="11"/>
        <v>Feb</v>
      </c>
      <c r="D182" s="12">
        <v>1249</v>
      </c>
      <c r="E182" s="12" t="s">
        <v>42</v>
      </c>
      <c r="F182" s="12" t="s">
        <v>20</v>
      </c>
      <c r="G182" s="12" t="s">
        <v>28</v>
      </c>
      <c r="H182" s="12" t="s">
        <v>29</v>
      </c>
      <c r="I182" s="12">
        <v>6</v>
      </c>
      <c r="J182" s="12">
        <v>236</v>
      </c>
      <c r="K182" s="13">
        <v>0</v>
      </c>
      <c r="L182" s="12">
        <v>165.2</v>
      </c>
      <c r="M182" s="12">
        <f t="shared" si="12"/>
        <v>1416</v>
      </c>
      <c r="N182" s="14">
        <f t="shared" si="13"/>
        <v>424.80000000000007</v>
      </c>
      <c r="O182" s="14" t="str">
        <f t="shared" si="14"/>
        <v>F</v>
      </c>
    </row>
    <row r="183" spans="1:15" ht="14.4" x14ac:dyDescent="0.3">
      <c r="A183" s="10">
        <v>45689</v>
      </c>
      <c r="B183" s="11" t="str">
        <f t="shared" si="10"/>
        <v>2025</v>
      </c>
      <c r="C183" s="11" t="str">
        <f t="shared" si="11"/>
        <v>Feb</v>
      </c>
      <c r="D183" s="12">
        <v>1278</v>
      </c>
      <c r="E183" s="12" t="s">
        <v>39</v>
      </c>
      <c r="F183" s="12" t="s">
        <v>20</v>
      </c>
      <c r="G183" s="12" t="s">
        <v>28</v>
      </c>
      <c r="H183" s="12" t="s">
        <v>29</v>
      </c>
      <c r="I183" s="12">
        <v>6</v>
      </c>
      <c r="J183" s="12">
        <v>374</v>
      </c>
      <c r="K183" s="13">
        <v>0.15</v>
      </c>
      <c r="L183" s="12">
        <v>261.8</v>
      </c>
      <c r="M183" s="12">
        <f t="shared" si="12"/>
        <v>1907.3999999999999</v>
      </c>
      <c r="N183" s="14">
        <f t="shared" si="13"/>
        <v>336.59999999999968</v>
      </c>
      <c r="O183" s="14" t="str">
        <f t="shared" si="14"/>
        <v>F</v>
      </c>
    </row>
    <row r="184" spans="1:15" ht="14.4" x14ac:dyDescent="0.3">
      <c r="A184" s="10">
        <v>45688</v>
      </c>
      <c r="B184" s="11" t="str">
        <f t="shared" si="10"/>
        <v>2025</v>
      </c>
      <c r="C184" s="11" t="str">
        <f t="shared" si="11"/>
        <v>Jan</v>
      </c>
      <c r="D184" s="12">
        <v>1161</v>
      </c>
      <c r="E184" s="12" t="s">
        <v>35</v>
      </c>
      <c r="F184" s="12" t="s">
        <v>38</v>
      </c>
      <c r="G184" s="12" t="s">
        <v>17</v>
      </c>
      <c r="H184" s="12" t="s">
        <v>40</v>
      </c>
      <c r="I184" s="12">
        <v>9</v>
      </c>
      <c r="J184" s="12">
        <v>408</v>
      </c>
      <c r="K184" s="13">
        <v>0.2</v>
      </c>
      <c r="L184" s="12">
        <v>285.60000000000002</v>
      </c>
      <c r="M184" s="12">
        <f t="shared" si="12"/>
        <v>2937.6000000000004</v>
      </c>
      <c r="N184" s="14">
        <f t="shared" si="13"/>
        <v>367.20000000000027</v>
      </c>
      <c r="O184" s="14" t="str">
        <f t="shared" si="14"/>
        <v>F</v>
      </c>
    </row>
    <row r="185" spans="1:15" ht="14.4" x14ac:dyDescent="0.3">
      <c r="A185" s="10">
        <v>45688</v>
      </c>
      <c r="B185" s="11" t="str">
        <f t="shared" si="10"/>
        <v>2025</v>
      </c>
      <c r="C185" s="11" t="str">
        <f t="shared" si="11"/>
        <v>Jan</v>
      </c>
      <c r="D185" s="12">
        <v>1286</v>
      </c>
      <c r="E185" s="12" t="s">
        <v>39</v>
      </c>
      <c r="F185" s="12" t="s">
        <v>16</v>
      </c>
      <c r="G185" s="12" t="s">
        <v>21</v>
      </c>
      <c r="H185" s="12" t="s">
        <v>26</v>
      </c>
      <c r="I185" s="12">
        <v>6</v>
      </c>
      <c r="J185" s="12">
        <v>250</v>
      </c>
      <c r="K185" s="13">
        <v>0.05</v>
      </c>
      <c r="L185" s="12">
        <v>175</v>
      </c>
      <c r="M185" s="12">
        <f t="shared" si="12"/>
        <v>1425</v>
      </c>
      <c r="N185" s="14">
        <f t="shared" si="13"/>
        <v>375</v>
      </c>
      <c r="O185" s="14" t="str">
        <f t="shared" si="14"/>
        <v>F</v>
      </c>
    </row>
    <row r="186" spans="1:15" ht="14.4" x14ac:dyDescent="0.3">
      <c r="A186" s="10">
        <v>45686</v>
      </c>
      <c r="B186" s="11" t="str">
        <f t="shared" si="10"/>
        <v>2025</v>
      </c>
      <c r="C186" s="11" t="str">
        <f t="shared" si="11"/>
        <v>Jan</v>
      </c>
      <c r="D186" s="12">
        <v>1175</v>
      </c>
      <c r="E186" s="12" t="s">
        <v>30</v>
      </c>
      <c r="F186" s="12" t="s">
        <v>24</v>
      </c>
      <c r="G186" s="12" t="s">
        <v>33</v>
      </c>
      <c r="H186" s="12" t="s">
        <v>31</v>
      </c>
      <c r="I186" s="12">
        <v>10</v>
      </c>
      <c r="J186" s="12">
        <v>145</v>
      </c>
      <c r="K186" s="13">
        <v>0.05</v>
      </c>
      <c r="L186" s="12">
        <v>101.5</v>
      </c>
      <c r="M186" s="12">
        <f t="shared" si="12"/>
        <v>1377.5</v>
      </c>
      <c r="N186" s="14">
        <f t="shared" si="13"/>
        <v>362.5</v>
      </c>
      <c r="O186" s="14" t="str">
        <f t="shared" si="14"/>
        <v>F</v>
      </c>
    </row>
    <row r="187" spans="1:15" ht="14.4" x14ac:dyDescent="0.3">
      <c r="A187" s="10">
        <v>45686</v>
      </c>
      <c r="B187" s="11" t="str">
        <f t="shared" si="10"/>
        <v>2025</v>
      </c>
      <c r="C187" s="11" t="str">
        <f t="shared" si="11"/>
        <v>Jan</v>
      </c>
      <c r="D187" s="12">
        <v>1475</v>
      </c>
      <c r="E187" s="12" t="s">
        <v>19</v>
      </c>
      <c r="F187" s="12" t="s">
        <v>38</v>
      </c>
      <c r="G187" s="12" t="s">
        <v>21</v>
      </c>
      <c r="H187" s="12" t="s">
        <v>26</v>
      </c>
      <c r="I187" s="12">
        <v>7</v>
      </c>
      <c r="J187" s="12">
        <v>69</v>
      </c>
      <c r="K187" s="13">
        <v>0.3</v>
      </c>
      <c r="L187" s="12">
        <v>48.3</v>
      </c>
      <c r="M187" s="12">
        <f t="shared" si="12"/>
        <v>338.09999999999997</v>
      </c>
      <c r="N187" s="14">
        <f t="shared" si="13"/>
        <v>0</v>
      </c>
      <c r="O187" s="14" t="str">
        <f t="shared" si="14"/>
        <v>F</v>
      </c>
    </row>
    <row r="188" spans="1:15" ht="14.4" x14ac:dyDescent="0.3">
      <c r="A188" s="10">
        <v>45685</v>
      </c>
      <c r="B188" s="11" t="str">
        <f t="shared" si="10"/>
        <v>2025</v>
      </c>
      <c r="C188" s="11" t="str">
        <f t="shared" si="11"/>
        <v>Jan</v>
      </c>
      <c r="D188" s="12">
        <v>1090</v>
      </c>
      <c r="E188" s="12" t="s">
        <v>35</v>
      </c>
      <c r="F188" s="12" t="s">
        <v>16</v>
      </c>
      <c r="G188" s="12" t="s">
        <v>17</v>
      </c>
      <c r="H188" s="12" t="s">
        <v>31</v>
      </c>
      <c r="I188" s="12">
        <v>7</v>
      </c>
      <c r="J188" s="12">
        <v>251</v>
      </c>
      <c r="K188" s="13">
        <v>0.25</v>
      </c>
      <c r="L188" s="12">
        <v>175.7</v>
      </c>
      <c r="M188" s="12">
        <f t="shared" si="12"/>
        <v>1317.75</v>
      </c>
      <c r="N188" s="14">
        <f t="shared" si="13"/>
        <v>87.850000000000136</v>
      </c>
      <c r="O188" s="14" t="str">
        <f t="shared" si="14"/>
        <v>F</v>
      </c>
    </row>
    <row r="189" spans="1:15" ht="14.4" x14ac:dyDescent="0.3">
      <c r="A189" s="10">
        <v>45684</v>
      </c>
      <c r="B189" s="11" t="str">
        <f t="shared" si="10"/>
        <v>2025</v>
      </c>
      <c r="C189" s="11" t="str">
        <f t="shared" si="11"/>
        <v>Jan</v>
      </c>
      <c r="D189" s="12">
        <v>1171</v>
      </c>
      <c r="E189" s="12" t="s">
        <v>27</v>
      </c>
      <c r="F189" s="12" t="s">
        <v>16</v>
      </c>
      <c r="G189" s="12" t="s">
        <v>21</v>
      </c>
      <c r="H189" s="12" t="s">
        <v>40</v>
      </c>
      <c r="I189" s="12">
        <v>4</v>
      </c>
      <c r="J189" s="12">
        <v>401</v>
      </c>
      <c r="K189" s="13">
        <v>0.1</v>
      </c>
      <c r="L189" s="12">
        <v>280.7</v>
      </c>
      <c r="M189" s="12">
        <f t="shared" si="12"/>
        <v>1443.6000000000001</v>
      </c>
      <c r="N189" s="14">
        <f t="shared" si="13"/>
        <v>320.80000000000018</v>
      </c>
      <c r="O189" s="14" t="str">
        <f t="shared" si="14"/>
        <v>F</v>
      </c>
    </row>
    <row r="190" spans="1:15" ht="14.4" x14ac:dyDescent="0.3">
      <c r="A190" s="10">
        <v>45684</v>
      </c>
      <c r="B190" s="11" t="str">
        <f t="shared" si="10"/>
        <v>2025</v>
      </c>
      <c r="C190" s="11" t="str">
        <f t="shared" si="11"/>
        <v>Jan</v>
      </c>
      <c r="D190" s="12">
        <v>1379</v>
      </c>
      <c r="E190" s="12" t="s">
        <v>30</v>
      </c>
      <c r="F190" s="12" t="s">
        <v>38</v>
      </c>
      <c r="G190" s="12" t="s">
        <v>21</v>
      </c>
      <c r="H190" s="12" t="s">
        <v>41</v>
      </c>
      <c r="I190" s="12">
        <v>9</v>
      </c>
      <c r="J190" s="12">
        <v>177</v>
      </c>
      <c r="K190" s="13">
        <v>0.2</v>
      </c>
      <c r="L190" s="12">
        <v>123.9</v>
      </c>
      <c r="M190" s="12">
        <f t="shared" si="12"/>
        <v>1274.4000000000001</v>
      </c>
      <c r="N190" s="14">
        <f t="shared" si="13"/>
        <v>159.29999999999995</v>
      </c>
      <c r="O190" s="14" t="str">
        <f t="shared" si="14"/>
        <v>F</v>
      </c>
    </row>
    <row r="191" spans="1:15" ht="14.4" x14ac:dyDescent="0.3">
      <c r="A191" s="10">
        <v>45683</v>
      </c>
      <c r="B191" s="11" t="str">
        <f t="shared" si="10"/>
        <v>2025</v>
      </c>
      <c r="C191" s="11" t="str">
        <f t="shared" si="11"/>
        <v>Jan</v>
      </c>
      <c r="D191" s="12">
        <v>1021</v>
      </c>
      <c r="E191" s="12" t="s">
        <v>27</v>
      </c>
      <c r="F191" s="12" t="s">
        <v>38</v>
      </c>
      <c r="G191" s="12" t="s">
        <v>25</v>
      </c>
      <c r="H191" s="12" t="s">
        <v>22</v>
      </c>
      <c r="I191" s="12">
        <v>9</v>
      </c>
      <c r="J191" s="12">
        <v>307</v>
      </c>
      <c r="K191" s="13">
        <v>0.1</v>
      </c>
      <c r="L191" s="12">
        <v>214.9</v>
      </c>
      <c r="M191" s="12">
        <f t="shared" si="12"/>
        <v>2486.7000000000003</v>
      </c>
      <c r="N191" s="14">
        <f t="shared" si="13"/>
        <v>552.60000000000014</v>
      </c>
      <c r="O191" s="14" t="str">
        <f t="shared" si="14"/>
        <v>F</v>
      </c>
    </row>
    <row r="192" spans="1:15" ht="14.4" x14ac:dyDescent="0.3">
      <c r="A192" s="10">
        <v>45683</v>
      </c>
      <c r="B192" s="11" t="str">
        <f t="shared" si="10"/>
        <v>2025</v>
      </c>
      <c r="C192" s="11" t="str">
        <f t="shared" si="11"/>
        <v>Jan</v>
      </c>
      <c r="D192" s="12">
        <v>1187</v>
      </c>
      <c r="E192" s="12" t="s">
        <v>39</v>
      </c>
      <c r="F192" s="12" t="s">
        <v>24</v>
      </c>
      <c r="G192" s="12" t="s">
        <v>28</v>
      </c>
      <c r="H192" s="12" t="s">
        <v>18</v>
      </c>
      <c r="I192" s="12">
        <v>8</v>
      </c>
      <c r="J192" s="12">
        <v>376</v>
      </c>
      <c r="K192" s="13">
        <v>0.1</v>
      </c>
      <c r="L192" s="12">
        <v>263.2</v>
      </c>
      <c r="M192" s="12">
        <f t="shared" si="12"/>
        <v>2707.2000000000003</v>
      </c>
      <c r="N192" s="14">
        <f t="shared" si="13"/>
        <v>601.60000000000036</v>
      </c>
      <c r="O192" s="14" t="str">
        <f t="shared" si="14"/>
        <v>F</v>
      </c>
    </row>
    <row r="193" spans="1:15" ht="14.4" x14ac:dyDescent="0.3">
      <c r="A193" s="10">
        <v>45682</v>
      </c>
      <c r="B193" s="11" t="str">
        <f t="shared" si="10"/>
        <v>2025</v>
      </c>
      <c r="C193" s="11" t="str">
        <f t="shared" si="11"/>
        <v>Jan</v>
      </c>
      <c r="D193" s="12">
        <v>1011</v>
      </c>
      <c r="E193" s="12" t="s">
        <v>23</v>
      </c>
      <c r="F193" s="12" t="s">
        <v>38</v>
      </c>
      <c r="G193" s="12" t="s">
        <v>28</v>
      </c>
      <c r="H193" s="12" t="s">
        <v>36</v>
      </c>
      <c r="I193" s="12">
        <v>3</v>
      </c>
      <c r="J193" s="12">
        <v>264</v>
      </c>
      <c r="K193" s="13">
        <v>0.15</v>
      </c>
      <c r="L193" s="12">
        <v>184.8</v>
      </c>
      <c r="M193" s="12">
        <f t="shared" si="12"/>
        <v>673.19999999999993</v>
      </c>
      <c r="N193" s="14">
        <f t="shared" si="13"/>
        <v>118.79999999999984</v>
      </c>
      <c r="O193" s="14" t="str">
        <f t="shared" si="14"/>
        <v>F</v>
      </c>
    </row>
    <row r="194" spans="1:15" ht="14.4" x14ac:dyDescent="0.3">
      <c r="A194" s="10">
        <v>45682</v>
      </c>
      <c r="B194" s="11" t="str">
        <f t="shared" ref="B194:B257" si="15">TEXT(A194,"yyyy")</f>
        <v>2025</v>
      </c>
      <c r="C194" s="11" t="str">
        <f t="shared" ref="C194:C257" si="16">TEXT(A194,"mmm")</f>
        <v>Jan</v>
      </c>
      <c r="D194" s="12">
        <v>1130</v>
      </c>
      <c r="E194" s="12" t="s">
        <v>30</v>
      </c>
      <c r="F194" s="12" t="s">
        <v>38</v>
      </c>
      <c r="G194" s="12" t="s">
        <v>34</v>
      </c>
      <c r="H194" s="12" t="s">
        <v>31</v>
      </c>
      <c r="I194" s="12">
        <v>5</v>
      </c>
      <c r="J194" s="12">
        <v>428</v>
      </c>
      <c r="K194" s="13">
        <v>0.05</v>
      </c>
      <c r="L194" s="12">
        <v>299.60000000000002</v>
      </c>
      <c r="M194" s="12">
        <f t="shared" ref="M194:M257" si="17">I194*J194*(1-K194)</f>
        <v>2033</v>
      </c>
      <c r="N194" s="14">
        <f t="shared" ref="N194:N257" si="18">M194-L194*I194</f>
        <v>535</v>
      </c>
      <c r="O194" s="14" t="str">
        <f t="shared" ref="O194:O257" si="19">IF(COUNTIF(E194:E693,E194)&gt;1,"F","O")</f>
        <v>F</v>
      </c>
    </row>
    <row r="195" spans="1:15" ht="14.4" x14ac:dyDescent="0.3">
      <c r="A195" s="10">
        <v>45682</v>
      </c>
      <c r="B195" s="11" t="str">
        <f t="shared" si="15"/>
        <v>2025</v>
      </c>
      <c r="C195" s="11" t="str">
        <f t="shared" si="16"/>
        <v>Jan</v>
      </c>
      <c r="D195" s="12">
        <v>1430</v>
      </c>
      <c r="E195" s="12" t="s">
        <v>35</v>
      </c>
      <c r="F195" s="12" t="s">
        <v>38</v>
      </c>
      <c r="G195" s="12" t="s">
        <v>34</v>
      </c>
      <c r="H195" s="12" t="s">
        <v>36</v>
      </c>
      <c r="I195" s="12">
        <v>2</v>
      </c>
      <c r="J195" s="12">
        <v>302</v>
      </c>
      <c r="K195" s="13">
        <v>0.3</v>
      </c>
      <c r="L195" s="12">
        <v>211.4</v>
      </c>
      <c r="M195" s="12">
        <f t="shared" si="17"/>
        <v>422.79999999999995</v>
      </c>
      <c r="N195" s="14">
        <f t="shared" si="18"/>
        <v>0</v>
      </c>
      <c r="O195" s="14" t="str">
        <f t="shared" si="19"/>
        <v>F</v>
      </c>
    </row>
    <row r="196" spans="1:15" ht="14.4" x14ac:dyDescent="0.3">
      <c r="A196" s="10">
        <v>45682</v>
      </c>
      <c r="B196" s="11" t="str">
        <f t="shared" si="15"/>
        <v>2025</v>
      </c>
      <c r="C196" s="11" t="str">
        <f t="shared" si="16"/>
        <v>Jan</v>
      </c>
      <c r="D196" s="12">
        <v>1007</v>
      </c>
      <c r="E196" s="12" t="s">
        <v>37</v>
      </c>
      <c r="F196" s="12" t="s">
        <v>20</v>
      </c>
      <c r="G196" s="12" t="s">
        <v>34</v>
      </c>
      <c r="H196" s="12" t="s">
        <v>22</v>
      </c>
      <c r="I196" s="12">
        <v>1</v>
      </c>
      <c r="J196" s="12">
        <v>238</v>
      </c>
      <c r="K196" s="13">
        <v>0.2</v>
      </c>
      <c r="L196" s="12">
        <v>166.6</v>
      </c>
      <c r="M196" s="12">
        <f t="shared" si="17"/>
        <v>190.4</v>
      </c>
      <c r="N196" s="14">
        <f t="shared" si="18"/>
        <v>23.800000000000011</v>
      </c>
      <c r="O196" s="14" t="str">
        <f t="shared" si="19"/>
        <v>F</v>
      </c>
    </row>
    <row r="197" spans="1:15" ht="14.4" x14ac:dyDescent="0.3">
      <c r="A197" s="10">
        <v>45679</v>
      </c>
      <c r="B197" s="11" t="str">
        <f t="shared" si="15"/>
        <v>2025</v>
      </c>
      <c r="C197" s="11" t="str">
        <f t="shared" si="16"/>
        <v>Jan</v>
      </c>
      <c r="D197" s="12">
        <v>1418</v>
      </c>
      <c r="E197" s="12" t="s">
        <v>19</v>
      </c>
      <c r="F197" s="12" t="s">
        <v>38</v>
      </c>
      <c r="G197" s="12" t="s">
        <v>17</v>
      </c>
      <c r="H197" s="12" t="s">
        <v>29</v>
      </c>
      <c r="I197" s="12">
        <v>3</v>
      </c>
      <c r="J197" s="12">
        <v>429</v>
      </c>
      <c r="K197" s="13">
        <v>0</v>
      </c>
      <c r="L197" s="12">
        <v>300.3</v>
      </c>
      <c r="M197" s="12">
        <f t="shared" si="17"/>
        <v>1287</v>
      </c>
      <c r="N197" s="14">
        <f t="shared" si="18"/>
        <v>386.09999999999991</v>
      </c>
      <c r="O197" s="14" t="str">
        <f t="shared" si="19"/>
        <v>F</v>
      </c>
    </row>
    <row r="198" spans="1:15" ht="14.4" x14ac:dyDescent="0.3">
      <c r="A198" s="10">
        <v>45679</v>
      </c>
      <c r="B198" s="11" t="str">
        <f t="shared" si="15"/>
        <v>2025</v>
      </c>
      <c r="C198" s="11" t="str">
        <f t="shared" si="16"/>
        <v>Jan</v>
      </c>
      <c r="D198" s="12">
        <v>1449</v>
      </c>
      <c r="E198" s="12" t="s">
        <v>37</v>
      </c>
      <c r="F198" s="12" t="s">
        <v>38</v>
      </c>
      <c r="G198" s="12" t="s">
        <v>25</v>
      </c>
      <c r="H198" s="12" t="s">
        <v>26</v>
      </c>
      <c r="I198" s="12">
        <v>10</v>
      </c>
      <c r="J198" s="12">
        <v>200</v>
      </c>
      <c r="K198" s="13">
        <v>0</v>
      </c>
      <c r="L198" s="12">
        <v>140</v>
      </c>
      <c r="M198" s="12">
        <f t="shared" si="17"/>
        <v>2000</v>
      </c>
      <c r="N198" s="14">
        <f t="shared" si="18"/>
        <v>600</v>
      </c>
      <c r="O198" s="14" t="str">
        <f t="shared" si="19"/>
        <v>F</v>
      </c>
    </row>
    <row r="199" spans="1:15" ht="14.4" x14ac:dyDescent="0.3">
      <c r="A199" s="10">
        <v>45678</v>
      </c>
      <c r="B199" s="11" t="str">
        <f t="shared" si="15"/>
        <v>2025</v>
      </c>
      <c r="C199" s="11" t="str">
        <f t="shared" si="16"/>
        <v>Jan</v>
      </c>
      <c r="D199" s="12">
        <v>1344</v>
      </c>
      <c r="E199" s="12" t="s">
        <v>39</v>
      </c>
      <c r="F199" s="12" t="s">
        <v>16</v>
      </c>
      <c r="G199" s="12" t="s">
        <v>21</v>
      </c>
      <c r="H199" s="12" t="s">
        <v>36</v>
      </c>
      <c r="I199" s="12">
        <v>9</v>
      </c>
      <c r="J199" s="12">
        <v>165</v>
      </c>
      <c r="K199" s="13">
        <v>0.25</v>
      </c>
      <c r="L199" s="12">
        <v>115.5</v>
      </c>
      <c r="M199" s="12">
        <f t="shared" si="17"/>
        <v>1113.75</v>
      </c>
      <c r="N199" s="14">
        <f t="shared" si="18"/>
        <v>74.25</v>
      </c>
      <c r="O199" s="14" t="str">
        <f t="shared" si="19"/>
        <v>F</v>
      </c>
    </row>
    <row r="200" spans="1:15" ht="14.4" x14ac:dyDescent="0.3">
      <c r="A200" s="10">
        <v>45675</v>
      </c>
      <c r="B200" s="11" t="str">
        <f t="shared" si="15"/>
        <v>2025</v>
      </c>
      <c r="C200" s="11" t="str">
        <f t="shared" si="16"/>
        <v>Jan</v>
      </c>
      <c r="D200" s="12">
        <v>1268</v>
      </c>
      <c r="E200" s="12" t="s">
        <v>15</v>
      </c>
      <c r="F200" s="12" t="s">
        <v>38</v>
      </c>
      <c r="G200" s="12" t="s">
        <v>17</v>
      </c>
      <c r="H200" s="12" t="s">
        <v>36</v>
      </c>
      <c r="I200" s="12">
        <v>4</v>
      </c>
      <c r="J200" s="12">
        <v>296</v>
      </c>
      <c r="K200" s="13">
        <v>0.25</v>
      </c>
      <c r="L200" s="12">
        <v>207.2</v>
      </c>
      <c r="M200" s="12">
        <f t="shared" si="17"/>
        <v>888</v>
      </c>
      <c r="N200" s="14">
        <f t="shared" si="18"/>
        <v>59.200000000000045</v>
      </c>
      <c r="O200" s="14" t="str">
        <f t="shared" si="19"/>
        <v>F</v>
      </c>
    </row>
    <row r="201" spans="1:15" ht="14.4" x14ac:dyDescent="0.3">
      <c r="A201" s="10">
        <v>45675</v>
      </c>
      <c r="B201" s="11" t="str">
        <f t="shared" si="15"/>
        <v>2025</v>
      </c>
      <c r="C201" s="11" t="str">
        <f t="shared" si="16"/>
        <v>Jan</v>
      </c>
      <c r="D201" s="12">
        <v>1369</v>
      </c>
      <c r="E201" s="12" t="s">
        <v>42</v>
      </c>
      <c r="F201" s="12" t="s">
        <v>38</v>
      </c>
      <c r="G201" s="12" t="s">
        <v>25</v>
      </c>
      <c r="H201" s="12" t="s">
        <v>18</v>
      </c>
      <c r="I201" s="12">
        <v>4</v>
      </c>
      <c r="J201" s="12">
        <v>338</v>
      </c>
      <c r="K201" s="13">
        <v>0.25</v>
      </c>
      <c r="L201" s="12">
        <v>236.6</v>
      </c>
      <c r="M201" s="12">
        <f t="shared" si="17"/>
        <v>1014</v>
      </c>
      <c r="N201" s="14">
        <f t="shared" si="18"/>
        <v>67.600000000000023</v>
      </c>
      <c r="O201" s="14" t="str">
        <f t="shared" si="19"/>
        <v>F</v>
      </c>
    </row>
    <row r="202" spans="1:15" ht="14.4" x14ac:dyDescent="0.3">
      <c r="A202" s="10">
        <v>45675</v>
      </c>
      <c r="B202" s="11" t="str">
        <f t="shared" si="15"/>
        <v>2025</v>
      </c>
      <c r="C202" s="11" t="str">
        <f t="shared" si="16"/>
        <v>Jan</v>
      </c>
      <c r="D202" s="12">
        <v>1416</v>
      </c>
      <c r="E202" s="12" t="s">
        <v>42</v>
      </c>
      <c r="F202" s="12" t="s">
        <v>38</v>
      </c>
      <c r="G202" s="12" t="s">
        <v>25</v>
      </c>
      <c r="H202" s="12" t="s">
        <v>18</v>
      </c>
      <c r="I202" s="12">
        <v>4</v>
      </c>
      <c r="J202" s="12">
        <v>55</v>
      </c>
      <c r="K202" s="13">
        <v>0.1</v>
      </c>
      <c r="L202" s="12">
        <v>38.5</v>
      </c>
      <c r="M202" s="12">
        <f t="shared" si="17"/>
        <v>198</v>
      </c>
      <c r="N202" s="14">
        <f t="shared" si="18"/>
        <v>44</v>
      </c>
      <c r="O202" s="14" t="str">
        <f t="shared" si="19"/>
        <v>F</v>
      </c>
    </row>
    <row r="203" spans="1:15" ht="14.4" x14ac:dyDescent="0.3">
      <c r="A203" s="10">
        <v>45675</v>
      </c>
      <c r="B203" s="11" t="str">
        <f t="shared" si="15"/>
        <v>2025</v>
      </c>
      <c r="C203" s="11" t="str">
        <f t="shared" si="16"/>
        <v>Jan</v>
      </c>
      <c r="D203" s="12">
        <v>1331</v>
      </c>
      <c r="E203" s="12" t="s">
        <v>39</v>
      </c>
      <c r="F203" s="12" t="s">
        <v>20</v>
      </c>
      <c r="G203" s="12" t="s">
        <v>33</v>
      </c>
      <c r="H203" s="12" t="s">
        <v>18</v>
      </c>
      <c r="I203" s="12">
        <v>10</v>
      </c>
      <c r="J203" s="12">
        <v>58</v>
      </c>
      <c r="K203" s="13">
        <v>0.1</v>
      </c>
      <c r="L203" s="12">
        <v>40.599999999999987</v>
      </c>
      <c r="M203" s="12">
        <f t="shared" si="17"/>
        <v>522</v>
      </c>
      <c r="N203" s="14">
        <f t="shared" si="18"/>
        <v>116.00000000000011</v>
      </c>
      <c r="O203" s="14" t="str">
        <f t="shared" si="19"/>
        <v>F</v>
      </c>
    </row>
    <row r="204" spans="1:15" ht="14.4" x14ac:dyDescent="0.3">
      <c r="A204" s="10">
        <v>45674</v>
      </c>
      <c r="B204" s="11" t="str">
        <f t="shared" si="15"/>
        <v>2025</v>
      </c>
      <c r="C204" s="11" t="str">
        <f t="shared" si="16"/>
        <v>Jan</v>
      </c>
      <c r="D204" s="12">
        <v>1214</v>
      </c>
      <c r="E204" s="12" t="s">
        <v>35</v>
      </c>
      <c r="F204" s="12" t="s">
        <v>24</v>
      </c>
      <c r="G204" s="12" t="s">
        <v>25</v>
      </c>
      <c r="H204" s="12" t="s">
        <v>36</v>
      </c>
      <c r="I204" s="12">
        <v>2</v>
      </c>
      <c r="J204" s="12">
        <v>495</v>
      </c>
      <c r="K204" s="13">
        <v>0.3</v>
      </c>
      <c r="L204" s="12">
        <v>346.5</v>
      </c>
      <c r="M204" s="12">
        <f t="shared" si="17"/>
        <v>693</v>
      </c>
      <c r="N204" s="14">
        <f t="shared" si="18"/>
        <v>0</v>
      </c>
      <c r="O204" s="14" t="str">
        <f t="shared" si="19"/>
        <v>F</v>
      </c>
    </row>
    <row r="205" spans="1:15" ht="14.4" x14ac:dyDescent="0.3">
      <c r="A205" s="10">
        <v>45672</v>
      </c>
      <c r="B205" s="11" t="str">
        <f t="shared" si="15"/>
        <v>2025</v>
      </c>
      <c r="C205" s="11" t="str">
        <f t="shared" si="16"/>
        <v>Jan</v>
      </c>
      <c r="D205" s="12">
        <v>1012</v>
      </c>
      <c r="E205" s="12" t="s">
        <v>39</v>
      </c>
      <c r="F205" s="12" t="s">
        <v>16</v>
      </c>
      <c r="G205" s="12" t="s">
        <v>28</v>
      </c>
      <c r="H205" s="12" t="s">
        <v>22</v>
      </c>
      <c r="I205" s="12">
        <v>2</v>
      </c>
      <c r="J205" s="12">
        <v>380</v>
      </c>
      <c r="K205" s="13">
        <v>0.15</v>
      </c>
      <c r="L205" s="12">
        <v>266</v>
      </c>
      <c r="M205" s="12">
        <f t="shared" si="17"/>
        <v>646</v>
      </c>
      <c r="N205" s="14">
        <f t="shared" si="18"/>
        <v>114</v>
      </c>
      <c r="O205" s="14" t="str">
        <f t="shared" si="19"/>
        <v>F</v>
      </c>
    </row>
    <row r="206" spans="1:15" ht="14.4" x14ac:dyDescent="0.3">
      <c r="A206" s="10">
        <v>45667</v>
      </c>
      <c r="B206" s="11" t="str">
        <f t="shared" si="15"/>
        <v>2025</v>
      </c>
      <c r="C206" s="11" t="str">
        <f t="shared" si="16"/>
        <v>Jan</v>
      </c>
      <c r="D206" s="12">
        <v>1185</v>
      </c>
      <c r="E206" s="12" t="s">
        <v>37</v>
      </c>
      <c r="F206" s="12" t="s">
        <v>38</v>
      </c>
      <c r="G206" s="12" t="s">
        <v>17</v>
      </c>
      <c r="H206" s="12" t="s">
        <v>22</v>
      </c>
      <c r="I206" s="12">
        <v>9</v>
      </c>
      <c r="J206" s="12">
        <v>62</v>
      </c>
      <c r="K206" s="13">
        <v>0.3</v>
      </c>
      <c r="L206" s="12">
        <v>43.4</v>
      </c>
      <c r="M206" s="12">
        <f t="shared" si="17"/>
        <v>390.59999999999997</v>
      </c>
      <c r="N206" s="14">
        <f t="shared" si="18"/>
        <v>0</v>
      </c>
      <c r="O206" s="14" t="str">
        <f t="shared" si="19"/>
        <v>F</v>
      </c>
    </row>
    <row r="207" spans="1:15" ht="14.4" x14ac:dyDescent="0.3">
      <c r="A207" s="10">
        <v>45667</v>
      </c>
      <c r="B207" s="11" t="str">
        <f t="shared" si="15"/>
        <v>2025</v>
      </c>
      <c r="C207" s="11" t="str">
        <f t="shared" si="16"/>
        <v>Jan</v>
      </c>
      <c r="D207" s="12">
        <v>1328</v>
      </c>
      <c r="E207" s="12" t="s">
        <v>32</v>
      </c>
      <c r="F207" s="12" t="s">
        <v>38</v>
      </c>
      <c r="G207" s="12" t="s">
        <v>17</v>
      </c>
      <c r="H207" s="12" t="s">
        <v>18</v>
      </c>
      <c r="I207" s="12">
        <v>6</v>
      </c>
      <c r="J207" s="12">
        <v>189</v>
      </c>
      <c r="K207" s="13">
        <v>0.15</v>
      </c>
      <c r="L207" s="12">
        <v>132.30000000000001</v>
      </c>
      <c r="M207" s="12">
        <f t="shared" si="17"/>
        <v>963.9</v>
      </c>
      <c r="N207" s="14">
        <f t="shared" si="18"/>
        <v>170.09999999999991</v>
      </c>
      <c r="O207" s="14" t="str">
        <f t="shared" si="19"/>
        <v>F</v>
      </c>
    </row>
    <row r="208" spans="1:15" ht="14.4" x14ac:dyDescent="0.3">
      <c r="A208" s="10">
        <v>45664</v>
      </c>
      <c r="B208" s="11" t="str">
        <f t="shared" si="15"/>
        <v>2025</v>
      </c>
      <c r="C208" s="11" t="str">
        <f t="shared" si="16"/>
        <v>Jan</v>
      </c>
      <c r="D208" s="12">
        <v>1255</v>
      </c>
      <c r="E208" s="12" t="s">
        <v>23</v>
      </c>
      <c r="F208" s="12" t="s">
        <v>16</v>
      </c>
      <c r="G208" s="12" t="s">
        <v>33</v>
      </c>
      <c r="H208" s="12" t="s">
        <v>36</v>
      </c>
      <c r="I208" s="12">
        <v>8</v>
      </c>
      <c r="J208" s="12">
        <v>392</v>
      </c>
      <c r="K208" s="13">
        <v>0.05</v>
      </c>
      <c r="L208" s="12">
        <v>274.39999999999998</v>
      </c>
      <c r="M208" s="12">
        <f t="shared" si="17"/>
        <v>2979.2</v>
      </c>
      <c r="N208" s="14">
        <f t="shared" si="18"/>
        <v>784</v>
      </c>
      <c r="O208" s="14" t="str">
        <f t="shared" si="19"/>
        <v>F</v>
      </c>
    </row>
    <row r="209" spans="1:15" ht="14.4" x14ac:dyDescent="0.3">
      <c r="A209" s="10">
        <v>45662</v>
      </c>
      <c r="B209" s="11" t="str">
        <f t="shared" si="15"/>
        <v>2025</v>
      </c>
      <c r="C209" s="11" t="str">
        <f t="shared" si="16"/>
        <v>Jan</v>
      </c>
      <c r="D209" s="12">
        <v>1277</v>
      </c>
      <c r="E209" s="12" t="s">
        <v>37</v>
      </c>
      <c r="F209" s="12" t="s">
        <v>24</v>
      </c>
      <c r="G209" s="12" t="s">
        <v>21</v>
      </c>
      <c r="H209" s="12" t="s">
        <v>26</v>
      </c>
      <c r="I209" s="12">
        <v>1</v>
      </c>
      <c r="J209" s="12">
        <v>329</v>
      </c>
      <c r="K209" s="13">
        <v>0.25</v>
      </c>
      <c r="L209" s="12">
        <v>230.3</v>
      </c>
      <c r="M209" s="12">
        <f t="shared" si="17"/>
        <v>246.75</v>
      </c>
      <c r="N209" s="14">
        <f t="shared" si="18"/>
        <v>16.449999999999989</v>
      </c>
      <c r="O209" s="14" t="str">
        <f t="shared" si="19"/>
        <v>F</v>
      </c>
    </row>
    <row r="210" spans="1:15" ht="14.4" x14ac:dyDescent="0.3">
      <c r="A210" s="10">
        <v>45662</v>
      </c>
      <c r="B210" s="11" t="str">
        <f t="shared" si="15"/>
        <v>2025</v>
      </c>
      <c r="C210" s="11" t="str">
        <f t="shared" si="16"/>
        <v>Jan</v>
      </c>
      <c r="D210" s="12">
        <v>1497</v>
      </c>
      <c r="E210" s="12" t="s">
        <v>23</v>
      </c>
      <c r="F210" s="12" t="s">
        <v>24</v>
      </c>
      <c r="G210" s="12" t="s">
        <v>34</v>
      </c>
      <c r="H210" s="12" t="s">
        <v>40</v>
      </c>
      <c r="I210" s="12">
        <v>1</v>
      </c>
      <c r="J210" s="12">
        <v>107</v>
      </c>
      <c r="K210" s="13">
        <v>0</v>
      </c>
      <c r="L210" s="12">
        <v>74.899999999999991</v>
      </c>
      <c r="M210" s="12">
        <f t="shared" si="17"/>
        <v>107</v>
      </c>
      <c r="N210" s="14">
        <f t="shared" si="18"/>
        <v>32.100000000000009</v>
      </c>
      <c r="O210" s="14" t="str">
        <f t="shared" si="19"/>
        <v>F</v>
      </c>
    </row>
    <row r="211" spans="1:15" ht="14.4" x14ac:dyDescent="0.3">
      <c r="A211" s="10">
        <v>45660</v>
      </c>
      <c r="B211" s="11" t="str">
        <f t="shared" si="15"/>
        <v>2025</v>
      </c>
      <c r="C211" s="11" t="str">
        <f t="shared" si="16"/>
        <v>Jan</v>
      </c>
      <c r="D211" s="12">
        <v>1176</v>
      </c>
      <c r="E211" s="12" t="s">
        <v>27</v>
      </c>
      <c r="F211" s="12" t="s">
        <v>20</v>
      </c>
      <c r="G211" s="12" t="s">
        <v>28</v>
      </c>
      <c r="H211" s="12" t="s">
        <v>22</v>
      </c>
      <c r="I211" s="12">
        <v>1</v>
      </c>
      <c r="J211" s="12">
        <v>437</v>
      </c>
      <c r="K211" s="13">
        <v>0</v>
      </c>
      <c r="L211" s="12">
        <v>305.89999999999998</v>
      </c>
      <c r="M211" s="12">
        <f t="shared" si="17"/>
        <v>437</v>
      </c>
      <c r="N211" s="14">
        <f t="shared" si="18"/>
        <v>131.10000000000002</v>
      </c>
      <c r="O211" s="14" t="str">
        <f t="shared" si="19"/>
        <v>F</v>
      </c>
    </row>
    <row r="212" spans="1:15" ht="14.4" x14ac:dyDescent="0.3">
      <c r="A212" s="10">
        <v>45656</v>
      </c>
      <c r="B212" s="11" t="str">
        <f t="shared" si="15"/>
        <v>2024</v>
      </c>
      <c r="C212" s="11" t="str">
        <f t="shared" si="16"/>
        <v>Dec</v>
      </c>
      <c r="D212" s="12">
        <v>1114</v>
      </c>
      <c r="E212" s="12" t="s">
        <v>23</v>
      </c>
      <c r="F212" s="12" t="s">
        <v>20</v>
      </c>
      <c r="G212" s="12" t="s">
        <v>34</v>
      </c>
      <c r="H212" s="12" t="s">
        <v>22</v>
      </c>
      <c r="I212" s="12">
        <v>9</v>
      </c>
      <c r="J212" s="12">
        <v>64</v>
      </c>
      <c r="K212" s="13">
        <v>0.1</v>
      </c>
      <c r="L212" s="12">
        <v>44.8</v>
      </c>
      <c r="M212" s="12">
        <f t="shared" si="17"/>
        <v>518.4</v>
      </c>
      <c r="N212" s="14">
        <f t="shared" si="18"/>
        <v>115.19999999999999</v>
      </c>
      <c r="O212" s="14" t="str">
        <f t="shared" si="19"/>
        <v>F</v>
      </c>
    </row>
    <row r="213" spans="1:15" ht="14.4" x14ac:dyDescent="0.3">
      <c r="A213" s="10">
        <v>45655</v>
      </c>
      <c r="B213" s="11" t="str">
        <f t="shared" si="15"/>
        <v>2024</v>
      </c>
      <c r="C213" s="11" t="str">
        <f t="shared" si="16"/>
        <v>Dec</v>
      </c>
      <c r="D213" s="12">
        <v>1345</v>
      </c>
      <c r="E213" s="12" t="s">
        <v>23</v>
      </c>
      <c r="F213" s="12" t="s">
        <v>38</v>
      </c>
      <c r="G213" s="12" t="s">
        <v>33</v>
      </c>
      <c r="H213" s="12" t="s">
        <v>18</v>
      </c>
      <c r="I213" s="12">
        <v>5</v>
      </c>
      <c r="J213" s="12">
        <v>124</v>
      </c>
      <c r="K213" s="13">
        <v>0.25</v>
      </c>
      <c r="L213" s="12">
        <v>86.8</v>
      </c>
      <c r="M213" s="12">
        <f t="shared" si="17"/>
        <v>465</v>
      </c>
      <c r="N213" s="14">
        <f t="shared" si="18"/>
        <v>31</v>
      </c>
      <c r="O213" s="14" t="str">
        <f t="shared" si="19"/>
        <v>F</v>
      </c>
    </row>
    <row r="214" spans="1:15" ht="14.4" x14ac:dyDescent="0.3">
      <c r="A214" s="10">
        <v>45655</v>
      </c>
      <c r="B214" s="11" t="str">
        <f t="shared" si="15"/>
        <v>2024</v>
      </c>
      <c r="C214" s="11" t="str">
        <f t="shared" si="16"/>
        <v>Dec</v>
      </c>
      <c r="D214" s="12">
        <v>1434</v>
      </c>
      <c r="E214" s="12" t="s">
        <v>19</v>
      </c>
      <c r="F214" s="12" t="s">
        <v>24</v>
      </c>
      <c r="G214" s="12" t="s">
        <v>25</v>
      </c>
      <c r="H214" s="12" t="s">
        <v>36</v>
      </c>
      <c r="I214" s="12">
        <v>7</v>
      </c>
      <c r="J214" s="12">
        <v>372</v>
      </c>
      <c r="K214" s="13">
        <v>0.05</v>
      </c>
      <c r="L214" s="12">
        <v>260.39999999999998</v>
      </c>
      <c r="M214" s="12">
        <f t="shared" si="17"/>
        <v>2473.7999999999997</v>
      </c>
      <c r="N214" s="14">
        <f t="shared" si="18"/>
        <v>651</v>
      </c>
      <c r="O214" s="14" t="str">
        <f t="shared" si="19"/>
        <v>F</v>
      </c>
    </row>
    <row r="215" spans="1:15" ht="14.4" x14ac:dyDescent="0.3">
      <c r="A215" s="10">
        <v>45654</v>
      </c>
      <c r="B215" s="11" t="str">
        <f t="shared" si="15"/>
        <v>2024</v>
      </c>
      <c r="C215" s="11" t="str">
        <f t="shared" si="16"/>
        <v>Dec</v>
      </c>
      <c r="D215" s="12">
        <v>1276</v>
      </c>
      <c r="E215" s="12" t="s">
        <v>15</v>
      </c>
      <c r="F215" s="12" t="s">
        <v>38</v>
      </c>
      <c r="G215" s="12" t="s">
        <v>33</v>
      </c>
      <c r="H215" s="12" t="s">
        <v>41</v>
      </c>
      <c r="I215" s="12">
        <v>9</v>
      </c>
      <c r="J215" s="12">
        <v>343</v>
      </c>
      <c r="K215" s="13">
        <v>0.15</v>
      </c>
      <c r="L215" s="12">
        <v>240.1</v>
      </c>
      <c r="M215" s="12">
        <f t="shared" si="17"/>
        <v>2623.95</v>
      </c>
      <c r="N215" s="14">
        <f t="shared" si="18"/>
        <v>463.04999999999973</v>
      </c>
      <c r="O215" s="14" t="str">
        <f t="shared" si="19"/>
        <v>F</v>
      </c>
    </row>
    <row r="216" spans="1:15" ht="14.4" x14ac:dyDescent="0.3">
      <c r="A216" s="10">
        <v>45652</v>
      </c>
      <c r="B216" s="11" t="str">
        <f t="shared" si="15"/>
        <v>2024</v>
      </c>
      <c r="C216" s="11" t="str">
        <f t="shared" si="16"/>
        <v>Dec</v>
      </c>
      <c r="D216" s="12">
        <v>1220</v>
      </c>
      <c r="E216" s="12" t="s">
        <v>32</v>
      </c>
      <c r="F216" s="12" t="s">
        <v>16</v>
      </c>
      <c r="G216" s="12" t="s">
        <v>33</v>
      </c>
      <c r="H216" s="12" t="s">
        <v>31</v>
      </c>
      <c r="I216" s="12">
        <v>2</v>
      </c>
      <c r="J216" s="12">
        <v>247</v>
      </c>
      <c r="K216" s="13">
        <v>0.15</v>
      </c>
      <c r="L216" s="12">
        <v>172.9</v>
      </c>
      <c r="M216" s="12">
        <f t="shared" si="17"/>
        <v>419.9</v>
      </c>
      <c r="N216" s="14">
        <f t="shared" si="18"/>
        <v>74.099999999999966</v>
      </c>
      <c r="O216" s="14" t="str">
        <f t="shared" si="19"/>
        <v>F</v>
      </c>
    </row>
    <row r="217" spans="1:15" ht="14.4" x14ac:dyDescent="0.3">
      <c r="A217" s="10">
        <v>45650</v>
      </c>
      <c r="B217" s="11" t="str">
        <f t="shared" si="15"/>
        <v>2024</v>
      </c>
      <c r="C217" s="11" t="str">
        <f t="shared" si="16"/>
        <v>Dec</v>
      </c>
      <c r="D217" s="12">
        <v>1267</v>
      </c>
      <c r="E217" s="12" t="s">
        <v>32</v>
      </c>
      <c r="F217" s="12" t="s">
        <v>38</v>
      </c>
      <c r="G217" s="12" t="s">
        <v>17</v>
      </c>
      <c r="H217" s="12" t="s">
        <v>31</v>
      </c>
      <c r="I217" s="12">
        <v>9</v>
      </c>
      <c r="J217" s="12">
        <v>465</v>
      </c>
      <c r="K217" s="13">
        <v>0</v>
      </c>
      <c r="L217" s="12">
        <v>325.5</v>
      </c>
      <c r="M217" s="12">
        <f t="shared" si="17"/>
        <v>4185</v>
      </c>
      <c r="N217" s="14">
        <f t="shared" si="18"/>
        <v>1255.5</v>
      </c>
      <c r="O217" s="14" t="str">
        <f t="shared" si="19"/>
        <v>F</v>
      </c>
    </row>
    <row r="218" spans="1:15" ht="14.4" x14ac:dyDescent="0.3">
      <c r="A218" s="10">
        <v>45649</v>
      </c>
      <c r="B218" s="11" t="str">
        <f t="shared" si="15"/>
        <v>2024</v>
      </c>
      <c r="C218" s="11" t="str">
        <f t="shared" si="16"/>
        <v>Dec</v>
      </c>
      <c r="D218" s="12">
        <v>1457</v>
      </c>
      <c r="E218" s="12" t="s">
        <v>23</v>
      </c>
      <c r="F218" s="12" t="s">
        <v>20</v>
      </c>
      <c r="G218" s="12" t="s">
        <v>21</v>
      </c>
      <c r="H218" s="12" t="s">
        <v>18</v>
      </c>
      <c r="I218" s="12">
        <v>9</v>
      </c>
      <c r="J218" s="12">
        <v>442</v>
      </c>
      <c r="K218" s="13">
        <v>0.25</v>
      </c>
      <c r="L218" s="12">
        <v>309.39999999999998</v>
      </c>
      <c r="M218" s="12">
        <f t="shared" si="17"/>
        <v>2983.5</v>
      </c>
      <c r="N218" s="14">
        <f t="shared" si="18"/>
        <v>198.90000000000009</v>
      </c>
      <c r="O218" s="14" t="str">
        <f t="shared" si="19"/>
        <v>F</v>
      </c>
    </row>
    <row r="219" spans="1:15" ht="14.4" x14ac:dyDescent="0.3">
      <c r="A219" s="10">
        <v>45647</v>
      </c>
      <c r="B219" s="11" t="str">
        <f t="shared" si="15"/>
        <v>2024</v>
      </c>
      <c r="C219" s="11" t="str">
        <f t="shared" si="16"/>
        <v>Dec</v>
      </c>
      <c r="D219" s="12">
        <v>1383</v>
      </c>
      <c r="E219" s="12" t="s">
        <v>35</v>
      </c>
      <c r="F219" s="12" t="s">
        <v>20</v>
      </c>
      <c r="G219" s="12" t="s">
        <v>33</v>
      </c>
      <c r="H219" s="12" t="s">
        <v>41</v>
      </c>
      <c r="I219" s="12">
        <v>1</v>
      </c>
      <c r="J219" s="12">
        <v>420</v>
      </c>
      <c r="K219" s="13">
        <v>0.25</v>
      </c>
      <c r="L219" s="12">
        <v>294</v>
      </c>
      <c r="M219" s="12">
        <f t="shared" si="17"/>
        <v>315</v>
      </c>
      <c r="N219" s="14">
        <f t="shared" si="18"/>
        <v>21</v>
      </c>
      <c r="O219" s="14" t="str">
        <f t="shared" si="19"/>
        <v>F</v>
      </c>
    </row>
    <row r="220" spans="1:15" ht="14.4" x14ac:dyDescent="0.3">
      <c r="A220" s="10">
        <v>45644</v>
      </c>
      <c r="B220" s="11" t="str">
        <f t="shared" si="15"/>
        <v>2024</v>
      </c>
      <c r="C220" s="11" t="str">
        <f t="shared" si="16"/>
        <v>Dec</v>
      </c>
      <c r="D220" s="12">
        <v>1460</v>
      </c>
      <c r="E220" s="12" t="s">
        <v>37</v>
      </c>
      <c r="F220" s="12" t="s">
        <v>16</v>
      </c>
      <c r="G220" s="12" t="s">
        <v>28</v>
      </c>
      <c r="H220" s="12" t="s">
        <v>18</v>
      </c>
      <c r="I220" s="12">
        <v>9</v>
      </c>
      <c r="J220" s="12">
        <v>225</v>
      </c>
      <c r="K220" s="13">
        <v>0.1</v>
      </c>
      <c r="L220" s="12">
        <v>157.5</v>
      </c>
      <c r="M220" s="12">
        <f t="shared" si="17"/>
        <v>1822.5</v>
      </c>
      <c r="N220" s="14">
        <f t="shared" si="18"/>
        <v>405</v>
      </c>
      <c r="O220" s="14" t="str">
        <f t="shared" si="19"/>
        <v>F</v>
      </c>
    </row>
    <row r="221" spans="1:15" ht="14.4" x14ac:dyDescent="0.3">
      <c r="A221" s="10">
        <v>45641</v>
      </c>
      <c r="B221" s="11" t="str">
        <f t="shared" si="15"/>
        <v>2024</v>
      </c>
      <c r="C221" s="11" t="str">
        <f t="shared" si="16"/>
        <v>Dec</v>
      </c>
      <c r="D221" s="12">
        <v>1318</v>
      </c>
      <c r="E221" s="12" t="s">
        <v>27</v>
      </c>
      <c r="F221" s="12" t="s">
        <v>16</v>
      </c>
      <c r="G221" s="12" t="s">
        <v>34</v>
      </c>
      <c r="H221" s="12" t="s">
        <v>36</v>
      </c>
      <c r="I221" s="12">
        <v>6</v>
      </c>
      <c r="J221" s="12">
        <v>301</v>
      </c>
      <c r="K221" s="13">
        <v>0.05</v>
      </c>
      <c r="L221" s="12">
        <v>210.7</v>
      </c>
      <c r="M221" s="12">
        <f t="shared" si="17"/>
        <v>1715.6999999999998</v>
      </c>
      <c r="N221" s="14">
        <f t="shared" si="18"/>
        <v>451.5</v>
      </c>
      <c r="O221" s="14" t="str">
        <f t="shared" si="19"/>
        <v>F</v>
      </c>
    </row>
    <row r="222" spans="1:15" ht="14.4" x14ac:dyDescent="0.3">
      <c r="A222" s="10">
        <v>45639</v>
      </c>
      <c r="B222" s="11" t="str">
        <f t="shared" si="15"/>
        <v>2024</v>
      </c>
      <c r="C222" s="11" t="str">
        <f t="shared" si="16"/>
        <v>Dec</v>
      </c>
      <c r="D222" s="12">
        <v>1164</v>
      </c>
      <c r="E222" s="12" t="s">
        <v>27</v>
      </c>
      <c r="F222" s="12" t="s">
        <v>38</v>
      </c>
      <c r="G222" s="12" t="s">
        <v>28</v>
      </c>
      <c r="H222" s="12" t="s">
        <v>41</v>
      </c>
      <c r="I222" s="12">
        <v>6</v>
      </c>
      <c r="J222" s="12">
        <v>256</v>
      </c>
      <c r="K222" s="13">
        <v>0.2</v>
      </c>
      <c r="L222" s="12">
        <v>179.2</v>
      </c>
      <c r="M222" s="12">
        <f t="shared" si="17"/>
        <v>1228.8000000000002</v>
      </c>
      <c r="N222" s="14">
        <f t="shared" si="18"/>
        <v>153.60000000000036</v>
      </c>
      <c r="O222" s="14" t="str">
        <f t="shared" si="19"/>
        <v>F</v>
      </c>
    </row>
    <row r="223" spans="1:15" ht="14.4" x14ac:dyDescent="0.3">
      <c r="A223" s="10">
        <v>45638</v>
      </c>
      <c r="B223" s="11" t="str">
        <f t="shared" si="15"/>
        <v>2024</v>
      </c>
      <c r="C223" s="11" t="str">
        <f t="shared" si="16"/>
        <v>Dec</v>
      </c>
      <c r="D223" s="12">
        <v>1313</v>
      </c>
      <c r="E223" s="12" t="s">
        <v>27</v>
      </c>
      <c r="F223" s="12" t="s">
        <v>24</v>
      </c>
      <c r="G223" s="12" t="s">
        <v>17</v>
      </c>
      <c r="H223" s="12" t="s">
        <v>41</v>
      </c>
      <c r="I223" s="12">
        <v>1</v>
      </c>
      <c r="J223" s="12">
        <v>200</v>
      </c>
      <c r="K223" s="13">
        <v>0</v>
      </c>
      <c r="L223" s="12">
        <v>140</v>
      </c>
      <c r="M223" s="12">
        <f t="shared" si="17"/>
        <v>200</v>
      </c>
      <c r="N223" s="14">
        <f t="shared" si="18"/>
        <v>60</v>
      </c>
      <c r="O223" s="14" t="str">
        <f t="shared" si="19"/>
        <v>F</v>
      </c>
    </row>
    <row r="224" spans="1:15" ht="14.4" x14ac:dyDescent="0.3">
      <c r="A224" s="10">
        <v>45638</v>
      </c>
      <c r="B224" s="11" t="str">
        <f t="shared" si="15"/>
        <v>2024</v>
      </c>
      <c r="C224" s="11" t="str">
        <f t="shared" si="16"/>
        <v>Dec</v>
      </c>
      <c r="D224" s="12">
        <v>1493</v>
      </c>
      <c r="E224" s="12" t="s">
        <v>19</v>
      </c>
      <c r="F224" s="12" t="s">
        <v>16</v>
      </c>
      <c r="G224" s="12" t="s">
        <v>25</v>
      </c>
      <c r="H224" s="12" t="s">
        <v>26</v>
      </c>
      <c r="I224" s="12">
        <v>6</v>
      </c>
      <c r="J224" s="12">
        <v>239</v>
      </c>
      <c r="K224" s="13">
        <v>0.1</v>
      </c>
      <c r="L224" s="12">
        <v>167.3</v>
      </c>
      <c r="M224" s="12">
        <f t="shared" si="17"/>
        <v>1290.6000000000001</v>
      </c>
      <c r="N224" s="14">
        <f t="shared" si="18"/>
        <v>286.80000000000007</v>
      </c>
      <c r="O224" s="14" t="str">
        <f t="shared" si="19"/>
        <v>F</v>
      </c>
    </row>
    <row r="225" spans="1:15" ht="14.4" x14ac:dyDescent="0.3">
      <c r="A225" s="10">
        <v>45637</v>
      </c>
      <c r="B225" s="11" t="str">
        <f t="shared" si="15"/>
        <v>2024</v>
      </c>
      <c r="C225" s="11" t="str">
        <f t="shared" si="16"/>
        <v>Dec</v>
      </c>
      <c r="D225" s="12">
        <v>1335</v>
      </c>
      <c r="E225" s="12" t="s">
        <v>19</v>
      </c>
      <c r="F225" s="12" t="s">
        <v>38</v>
      </c>
      <c r="G225" s="12" t="s">
        <v>28</v>
      </c>
      <c r="H225" s="12" t="s">
        <v>22</v>
      </c>
      <c r="I225" s="12">
        <v>8</v>
      </c>
      <c r="J225" s="12">
        <v>353</v>
      </c>
      <c r="K225" s="13">
        <v>0.05</v>
      </c>
      <c r="L225" s="12">
        <v>247.1</v>
      </c>
      <c r="M225" s="12">
        <f t="shared" si="17"/>
        <v>2682.7999999999997</v>
      </c>
      <c r="N225" s="14">
        <f t="shared" si="18"/>
        <v>705.99999999999977</v>
      </c>
      <c r="O225" s="14" t="str">
        <f t="shared" si="19"/>
        <v>F</v>
      </c>
    </row>
    <row r="226" spans="1:15" ht="14.4" x14ac:dyDescent="0.3">
      <c r="A226" s="10">
        <v>45634</v>
      </c>
      <c r="B226" s="11" t="str">
        <f t="shared" si="15"/>
        <v>2024</v>
      </c>
      <c r="C226" s="11" t="str">
        <f t="shared" si="16"/>
        <v>Dec</v>
      </c>
      <c r="D226" s="12">
        <v>1333</v>
      </c>
      <c r="E226" s="12" t="s">
        <v>30</v>
      </c>
      <c r="F226" s="12" t="s">
        <v>38</v>
      </c>
      <c r="G226" s="12" t="s">
        <v>33</v>
      </c>
      <c r="H226" s="12" t="s">
        <v>40</v>
      </c>
      <c r="I226" s="12">
        <v>6</v>
      </c>
      <c r="J226" s="12">
        <v>148</v>
      </c>
      <c r="K226" s="13">
        <v>0.15</v>
      </c>
      <c r="L226" s="12">
        <v>103.6</v>
      </c>
      <c r="M226" s="12">
        <f t="shared" si="17"/>
        <v>754.8</v>
      </c>
      <c r="N226" s="14">
        <f t="shared" si="18"/>
        <v>133.20000000000005</v>
      </c>
      <c r="O226" s="14" t="str">
        <f t="shared" si="19"/>
        <v>F</v>
      </c>
    </row>
    <row r="227" spans="1:15" ht="14.4" x14ac:dyDescent="0.3">
      <c r="A227" s="10">
        <v>45633</v>
      </c>
      <c r="B227" s="11" t="str">
        <f t="shared" si="15"/>
        <v>2024</v>
      </c>
      <c r="C227" s="11" t="str">
        <f t="shared" si="16"/>
        <v>Dec</v>
      </c>
      <c r="D227" s="12">
        <v>1280</v>
      </c>
      <c r="E227" s="12" t="s">
        <v>35</v>
      </c>
      <c r="F227" s="12" t="s">
        <v>24</v>
      </c>
      <c r="G227" s="12" t="s">
        <v>34</v>
      </c>
      <c r="H227" s="12" t="s">
        <v>36</v>
      </c>
      <c r="I227" s="12">
        <v>3</v>
      </c>
      <c r="J227" s="12">
        <v>147</v>
      </c>
      <c r="K227" s="13">
        <v>0.1</v>
      </c>
      <c r="L227" s="12">
        <v>102.9</v>
      </c>
      <c r="M227" s="12">
        <f t="shared" si="17"/>
        <v>396.90000000000003</v>
      </c>
      <c r="N227" s="14">
        <f t="shared" si="18"/>
        <v>88.199999999999989</v>
      </c>
      <c r="O227" s="14" t="str">
        <f t="shared" si="19"/>
        <v>F</v>
      </c>
    </row>
    <row r="228" spans="1:15" ht="14.4" x14ac:dyDescent="0.3">
      <c r="A228" s="10">
        <v>45632</v>
      </c>
      <c r="B228" s="11" t="str">
        <f t="shared" si="15"/>
        <v>2024</v>
      </c>
      <c r="C228" s="11" t="str">
        <f t="shared" si="16"/>
        <v>Dec</v>
      </c>
      <c r="D228" s="12">
        <v>1162</v>
      </c>
      <c r="E228" s="12" t="s">
        <v>37</v>
      </c>
      <c r="F228" s="12" t="s">
        <v>38</v>
      </c>
      <c r="G228" s="12" t="s">
        <v>17</v>
      </c>
      <c r="H228" s="12" t="s">
        <v>26</v>
      </c>
      <c r="I228" s="12">
        <v>1</v>
      </c>
      <c r="J228" s="12">
        <v>332</v>
      </c>
      <c r="K228" s="13">
        <v>0.15</v>
      </c>
      <c r="L228" s="12">
        <v>232.4</v>
      </c>
      <c r="M228" s="12">
        <f t="shared" si="17"/>
        <v>282.2</v>
      </c>
      <c r="N228" s="14">
        <f t="shared" si="18"/>
        <v>49.799999999999983</v>
      </c>
      <c r="O228" s="14" t="str">
        <f t="shared" si="19"/>
        <v>F</v>
      </c>
    </row>
    <row r="229" spans="1:15" ht="14.4" x14ac:dyDescent="0.3">
      <c r="A229" s="10">
        <v>45631</v>
      </c>
      <c r="B229" s="11" t="str">
        <f t="shared" si="15"/>
        <v>2024</v>
      </c>
      <c r="C229" s="11" t="str">
        <f t="shared" si="16"/>
        <v>Dec</v>
      </c>
      <c r="D229" s="12">
        <v>1073</v>
      </c>
      <c r="E229" s="12" t="s">
        <v>27</v>
      </c>
      <c r="F229" s="12" t="s">
        <v>20</v>
      </c>
      <c r="G229" s="12" t="s">
        <v>28</v>
      </c>
      <c r="H229" s="12" t="s">
        <v>41</v>
      </c>
      <c r="I229" s="12">
        <v>5</v>
      </c>
      <c r="J229" s="12">
        <v>255</v>
      </c>
      <c r="K229" s="13">
        <v>0.25</v>
      </c>
      <c r="L229" s="12">
        <v>178.5</v>
      </c>
      <c r="M229" s="12">
        <f t="shared" si="17"/>
        <v>956.25</v>
      </c>
      <c r="N229" s="14">
        <f t="shared" si="18"/>
        <v>63.75</v>
      </c>
      <c r="O229" s="14" t="str">
        <f t="shared" si="19"/>
        <v>F</v>
      </c>
    </row>
    <row r="230" spans="1:15" ht="14.4" x14ac:dyDescent="0.3">
      <c r="A230" s="10">
        <v>45631</v>
      </c>
      <c r="B230" s="11" t="str">
        <f t="shared" si="15"/>
        <v>2024</v>
      </c>
      <c r="C230" s="11" t="str">
        <f t="shared" si="16"/>
        <v>Dec</v>
      </c>
      <c r="D230" s="12">
        <v>1091</v>
      </c>
      <c r="E230" s="12" t="s">
        <v>19</v>
      </c>
      <c r="F230" s="12" t="s">
        <v>38</v>
      </c>
      <c r="G230" s="12" t="s">
        <v>21</v>
      </c>
      <c r="H230" s="12" t="s">
        <v>29</v>
      </c>
      <c r="I230" s="12">
        <v>4</v>
      </c>
      <c r="J230" s="12">
        <v>495</v>
      </c>
      <c r="K230" s="13">
        <v>0.25</v>
      </c>
      <c r="L230" s="12">
        <v>346.5</v>
      </c>
      <c r="M230" s="12">
        <f t="shared" si="17"/>
        <v>1485</v>
      </c>
      <c r="N230" s="14">
        <f t="shared" si="18"/>
        <v>99</v>
      </c>
      <c r="O230" s="14" t="str">
        <f t="shared" si="19"/>
        <v>F</v>
      </c>
    </row>
    <row r="231" spans="1:15" ht="14.4" x14ac:dyDescent="0.3">
      <c r="A231" s="10">
        <v>45629</v>
      </c>
      <c r="B231" s="11" t="str">
        <f t="shared" si="15"/>
        <v>2024</v>
      </c>
      <c r="C231" s="11" t="str">
        <f t="shared" si="16"/>
        <v>Dec</v>
      </c>
      <c r="D231" s="12">
        <v>1067</v>
      </c>
      <c r="E231" s="12" t="s">
        <v>23</v>
      </c>
      <c r="F231" s="12" t="s">
        <v>24</v>
      </c>
      <c r="G231" s="12" t="s">
        <v>34</v>
      </c>
      <c r="H231" s="12" t="s">
        <v>36</v>
      </c>
      <c r="I231" s="12">
        <v>9</v>
      </c>
      <c r="J231" s="12">
        <v>416</v>
      </c>
      <c r="K231" s="13">
        <v>0.05</v>
      </c>
      <c r="L231" s="12">
        <v>291.2</v>
      </c>
      <c r="M231" s="12">
        <f t="shared" si="17"/>
        <v>3556.7999999999997</v>
      </c>
      <c r="N231" s="14">
        <f t="shared" si="18"/>
        <v>936</v>
      </c>
      <c r="O231" s="14" t="str">
        <f t="shared" si="19"/>
        <v>F</v>
      </c>
    </row>
    <row r="232" spans="1:15" ht="14.4" x14ac:dyDescent="0.3">
      <c r="A232" s="10">
        <v>45629</v>
      </c>
      <c r="B232" s="11" t="str">
        <f t="shared" si="15"/>
        <v>2024</v>
      </c>
      <c r="C232" s="11" t="str">
        <f t="shared" si="16"/>
        <v>Dec</v>
      </c>
      <c r="D232" s="12">
        <v>1199</v>
      </c>
      <c r="E232" s="12" t="s">
        <v>35</v>
      </c>
      <c r="F232" s="12" t="s">
        <v>24</v>
      </c>
      <c r="G232" s="12" t="s">
        <v>34</v>
      </c>
      <c r="H232" s="12" t="s">
        <v>40</v>
      </c>
      <c r="I232" s="12">
        <v>3</v>
      </c>
      <c r="J232" s="12">
        <v>77</v>
      </c>
      <c r="K232" s="13">
        <v>0</v>
      </c>
      <c r="L232" s="12">
        <v>53.9</v>
      </c>
      <c r="M232" s="12">
        <f t="shared" si="17"/>
        <v>231</v>
      </c>
      <c r="N232" s="14">
        <f t="shared" si="18"/>
        <v>69.300000000000011</v>
      </c>
      <c r="O232" s="14" t="str">
        <f t="shared" si="19"/>
        <v>F</v>
      </c>
    </row>
    <row r="233" spans="1:15" ht="14.4" x14ac:dyDescent="0.3">
      <c r="A233" s="10">
        <v>45628</v>
      </c>
      <c r="B233" s="11" t="str">
        <f t="shared" si="15"/>
        <v>2024</v>
      </c>
      <c r="C233" s="11" t="str">
        <f t="shared" si="16"/>
        <v>Dec</v>
      </c>
      <c r="D233" s="12">
        <v>1229</v>
      </c>
      <c r="E233" s="12" t="s">
        <v>37</v>
      </c>
      <c r="F233" s="12" t="s">
        <v>24</v>
      </c>
      <c r="G233" s="12" t="s">
        <v>21</v>
      </c>
      <c r="H233" s="12" t="s">
        <v>31</v>
      </c>
      <c r="I233" s="12">
        <v>3</v>
      </c>
      <c r="J233" s="12">
        <v>201</v>
      </c>
      <c r="K233" s="13">
        <v>0.2</v>
      </c>
      <c r="L233" s="12">
        <v>140.69999999999999</v>
      </c>
      <c r="M233" s="12">
        <f t="shared" si="17"/>
        <v>482.40000000000003</v>
      </c>
      <c r="N233" s="14">
        <f t="shared" si="18"/>
        <v>60.300000000000068</v>
      </c>
      <c r="O233" s="14" t="str">
        <f t="shared" si="19"/>
        <v>F</v>
      </c>
    </row>
    <row r="234" spans="1:15" ht="14.4" x14ac:dyDescent="0.3">
      <c r="A234" s="10">
        <v>45625</v>
      </c>
      <c r="B234" s="11" t="str">
        <f t="shared" si="15"/>
        <v>2024</v>
      </c>
      <c r="C234" s="11" t="str">
        <f t="shared" si="16"/>
        <v>Nov</v>
      </c>
      <c r="D234" s="12">
        <v>1223</v>
      </c>
      <c r="E234" s="12" t="s">
        <v>27</v>
      </c>
      <c r="F234" s="12" t="s">
        <v>24</v>
      </c>
      <c r="G234" s="12" t="s">
        <v>17</v>
      </c>
      <c r="H234" s="12" t="s">
        <v>40</v>
      </c>
      <c r="I234" s="12">
        <v>3</v>
      </c>
      <c r="J234" s="12">
        <v>367</v>
      </c>
      <c r="K234" s="13">
        <v>0.15</v>
      </c>
      <c r="L234" s="12">
        <v>256.89999999999998</v>
      </c>
      <c r="M234" s="12">
        <f t="shared" si="17"/>
        <v>935.85</v>
      </c>
      <c r="N234" s="14">
        <f t="shared" si="18"/>
        <v>165.15000000000009</v>
      </c>
      <c r="O234" s="14" t="str">
        <f t="shared" si="19"/>
        <v>F</v>
      </c>
    </row>
    <row r="235" spans="1:15" ht="14.4" x14ac:dyDescent="0.3">
      <c r="A235" s="10">
        <v>45624</v>
      </c>
      <c r="B235" s="11" t="str">
        <f t="shared" si="15"/>
        <v>2024</v>
      </c>
      <c r="C235" s="11" t="str">
        <f t="shared" si="16"/>
        <v>Nov</v>
      </c>
      <c r="D235" s="12">
        <v>1026</v>
      </c>
      <c r="E235" s="12" t="s">
        <v>30</v>
      </c>
      <c r="F235" s="12" t="s">
        <v>24</v>
      </c>
      <c r="G235" s="12" t="s">
        <v>17</v>
      </c>
      <c r="H235" s="12" t="s">
        <v>36</v>
      </c>
      <c r="I235" s="12">
        <v>5</v>
      </c>
      <c r="J235" s="12">
        <v>241</v>
      </c>
      <c r="K235" s="13">
        <v>0.15</v>
      </c>
      <c r="L235" s="12">
        <v>168.7</v>
      </c>
      <c r="M235" s="12">
        <f t="shared" si="17"/>
        <v>1024.25</v>
      </c>
      <c r="N235" s="14">
        <f t="shared" si="18"/>
        <v>180.75</v>
      </c>
      <c r="O235" s="14" t="str">
        <f t="shared" si="19"/>
        <v>F</v>
      </c>
    </row>
    <row r="236" spans="1:15" ht="14.4" x14ac:dyDescent="0.3">
      <c r="A236" s="10">
        <v>45623</v>
      </c>
      <c r="B236" s="11" t="str">
        <f t="shared" si="15"/>
        <v>2024</v>
      </c>
      <c r="C236" s="11" t="str">
        <f t="shared" si="16"/>
        <v>Nov</v>
      </c>
      <c r="D236" s="12">
        <v>1310</v>
      </c>
      <c r="E236" s="12" t="s">
        <v>15</v>
      </c>
      <c r="F236" s="12" t="s">
        <v>20</v>
      </c>
      <c r="G236" s="12" t="s">
        <v>25</v>
      </c>
      <c r="H236" s="12" t="s">
        <v>22</v>
      </c>
      <c r="I236" s="12">
        <v>2</v>
      </c>
      <c r="J236" s="12">
        <v>316</v>
      </c>
      <c r="K236" s="13">
        <v>0.3</v>
      </c>
      <c r="L236" s="12">
        <v>221.2</v>
      </c>
      <c r="M236" s="12">
        <f t="shared" si="17"/>
        <v>442.4</v>
      </c>
      <c r="N236" s="14">
        <f t="shared" si="18"/>
        <v>0</v>
      </c>
      <c r="O236" s="14" t="str">
        <f t="shared" si="19"/>
        <v>F</v>
      </c>
    </row>
    <row r="237" spans="1:15" ht="14.4" x14ac:dyDescent="0.3">
      <c r="A237" s="10">
        <v>45622</v>
      </c>
      <c r="B237" s="11" t="str">
        <f t="shared" si="15"/>
        <v>2024</v>
      </c>
      <c r="C237" s="11" t="str">
        <f t="shared" si="16"/>
        <v>Nov</v>
      </c>
      <c r="D237" s="12">
        <v>1159</v>
      </c>
      <c r="E237" s="12" t="s">
        <v>15</v>
      </c>
      <c r="F237" s="12" t="s">
        <v>16</v>
      </c>
      <c r="G237" s="12" t="s">
        <v>25</v>
      </c>
      <c r="H237" s="12" t="s">
        <v>31</v>
      </c>
      <c r="I237" s="12">
        <v>4</v>
      </c>
      <c r="J237" s="12">
        <v>304</v>
      </c>
      <c r="K237" s="13">
        <v>0.2</v>
      </c>
      <c r="L237" s="12">
        <v>212.8</v>
      </c>
      <c r="M237" s="12">
        <f t="shared" si="17"/>
        <v>972.80000000000007</v>
      </c>
      <c r="N237" s="14">
        <f t="shared" si="18"/>
        <v>121.60000000000002</v>
      </c>
      <c r="O237" s="14" t="str">
        <f t="shared" si="19"/>
        <v>F</v>
      </c>
    </row>
    <row r="238" spans="1:15" ht="14.4" x14ac:dyDescent="0.3">
      <c r="A238" s="10">
        <v>45621</v>
      </c>
      <c r="B238" s="11" t="str">
        <f t="shared" si="15"/>
        <v>2024</v>
      </c>
      <c r="C238" s="11" t="str">
        <f t="shared" si="16"/>
        <v>Nov</v>
      </c>
      <c r="D238" s="12">
        <v>1388</v>
      </c>
      <c r="E238" s="12" t="s">
        <v>15</v>
      </c>
      <c r="F238" s="12" t="s">
        <v>20</v>
      </c>
      <c r="G238" s="12" t="s">
        <v>33</v>
      </c>
      <c r="H238" s="12" t="s">
        <v>18</v>
      </c>
      <c r="I238" s="12">
        <v>7</v>
      </c>
      <c r="J238" s="12">
        <v>87</v>
      </c>
      <c r="K238" s="13">
        <v>0</v>
      </c>
      <c r="L238" s="12">
        <v>60.9</v>
      </c>
      <c r="M238" s="12">
        <f t="shared" si="17"/>
        <v>609</v>
      </c>
      <c r="N238" s="14">
        <f t="shared" si="18"/>
        <v>182.7</v>
      </c>
      <c r="O238" s="14" t="str">
        <f t="shared" si="19"/>
        <v>F</v>
      </c>
    </row>
    <row r="239" spans="1:15" ht="14.4" x14ac:dyDescent="0.3">
      <c r="A239" s="10">
        <v>45620</v>
      </c>
      <c r="B239" s="11" t="str">
        <f t="shared" si="15"/>
        <v>2024</v>
      </c>
      <c r="C239" s="11" t="str">
        <f t="shared" si="16"/>
        <v>Nov</v>
      </c>
      <c r="D239" s="12">
        <v>1089</v>
      </c>
      <c r="E239" s="12" t="s">
        <v>19</v>
      </c>
      <c r="F239" s="12" t="s">
        <v>24</v>
      </c>
      <c r="G239" s="12" t="s">
        <v>33</v>
      </c>
      <c r="H239" s="12" t="s">
        <v>40</v>
      </c>
      <c r="I239" s="12">
        <v>4</v>
      </c>
      <c r="J239" s="12">
        <v>211</v>
      </c>
      <c r="K239" s="13">
        <v>0</v>
      </c>
      <c r="L239" s="12">
        <v>147.69999999999999</v>
      </c>
      <c r="M239" s="12">
        <f t="shared" si="17"/>
        <v>844</v>
      </c>
      <c r="N239" s="14">
        <f t="shared" si="18"/>
        <v>253.20000000000005</v>
      </c>
      <c r="O239" s="14" t="str">
        <f t="shared" si="19"/>
        <v>F</v>
      </c>
    </row>
    <row r="240" spans="1:15" ht="14.4" x14ac:dyDescent="0.3">
      <c r="A240" s="10">
        <v>45619</v>
      </c>
      <c r="B240" s="11" t="str">
        <f t="shared" si="15"/>
        <v>2024</v>
      </c>
      <c r="C240" s="11" t="str">
        <f t="shared" si="16"/>
        <v>Nov</v>
      </c>
      <c r="D240" s="12">
        <v>1334</v>
      </c>
      <c r="E240" s="12" t="s">
        <v>35</v>
      </c>
      <c r="F240" s="12" t="s">
        <v>38</v>
      </c>
      <c r="G240" s="12" t="s">
        <v>25</v>
      </c>
      <c r="H240" s="12" t="s">
        <v>22</v>
      </c>
      <c r="I240" s="12">
        <v>10</v>
      </c>
      <c r="J240" s="12">
        <v>196</v>
      </c>
      <c r="K240" s="13">
        <v>0</v>
      </c>
      <c r="L240" s="12">
        <v>137.19999999999999</v>
      </c>
      <c r="M240" s="12">
        <f t="shared" si="17"/>
        <v>1960</v>
      </c>
      <c r="N240" s="14">
        <f t="shared" si="18"/>
        <v>588</v>
      </c>
      <c r="O240" s="14" t="str">
        <f t="shared" si="19"/>
        <v>F</v>
      </c>
    </row>
    <row r="241" spans="1:15" ht="14.4" x14ac:dyDescent="0.3">
      <c r="A241" s="10">
        <v>45619</v>
      </c>
      <c r="B241" s="11" t="str">
        <f t="shared" si="15"/>
        <v>2024</v>
      </c>
      <c r="C241" s="11" t="str">
        <f t="shared" si="16"/>
        <v>Nov</v>
      </c>
      <c r="D241" s="12">
        <v>1391</v>
      </c>
      <c r="E241" s="12" t="s">
        <v>42</v>
      </c>
      <c r="F241" s="12" t="s">
        <v>38</v>
      </c>
      <c r="G241" s="12" t="s">
        <v>33</v>
      </c>
      <c r="H241" s="12" t="s">
        <v>22</v>
      </c>
      <c r="I241" s="12">
        <v>7</v>
      </c>
      <c r="J241" s="12">
        <v>100</v>
      </c>
      <c r="K241" s="13">
        <v>0.25</v>
      </c>
      <c r="L241" s="12">
        <v>70</v>
      </c>
      <c r="M241" s="12">
        <f t="shared" si="17"/>
        <v>525</v>
      </c>
      <c r="N241" s="14">
        <f t="shared" si="18"/>
        <v>35</v>
      </c>
      <c r="O241" s="14" t="str">
        <f t="shared" si="19"/>
        <v>F</v>
      </c>
    </row>
    <row r="242" spans="1:15" ht="14.4" x14ac:dyDescent="0.3">
      <c r="A242" s="10">
        <v>45619</v>
      </c>
      <c r="B242" s="11" t="str">
        <f t="shared" si="15"/>
        <v>2024</v>
      </c>
      <c r="C242" s="11" t="str">
        <f t="shared" si="16"/>
        <v>Nov</v>
      </c>
      <c r="D242" s="12">
        <v>1459</v>
      </c>
      <c r="E242" s="12" t="s">
        <v>37</v>
      </c>
      <c r="F242" s="12" t="s">
        <v>20</v>
      </c>
      <c r="G242" s="12" t="s">
        <v>17</v>
      </c>
      <c r="H242" s="12" t="s">
        <v>41</v>
      </c>
      <c r="I242" s="12">
        <v>1</v>
      </c>
      <c r="J242" s="12">
        <v>295</v>
      </c>
      <c r="K242" s="13">
        <v>0.1</v>
      </c>
      <c r="L242" s="12">
        <v>206.5</v>
      </c>
      <c r="M242" s="12">
        <f t="shared" si="17"/>
        <v>265.5</v>
      </c>
      <c r="N242" s="14">
        <f t="shared" si="18"/>
        <v>59</v>
      </c>
      <c r="O242" s="14" t="str">
        <f t="shared" si="19"/>
        <v>F</v>
      </c>
    </row>
    <row r="243" spans="1:15" ht="14.4" x14ac:dyDescent="0.3">
      <c r="A243" s="10">
        <v>45617</v>
      </c>
      <c r="B243" s="11" t="str">
        <f t="shared" si="15"/>
        <v>2024</v>
      </c>
      <c r="C243" s="11" t="str">
        <f t="shared" si="16"/>
        <v>Nov</v>
      </c>
      <c r="D243" s="12">
        <v>1307</v>
      </c>
      <c r="E243" s="12" t="s">
        <v>37</v>
      </c>
      <c r="F243" s="12" t="s">
        <v>38</v>
      </c>
      <c r="G243" s="12" t="s">
        <v>21</v>
      </c>
      <c r="H243" s="12" t="s">
        <v>36</v>
      </c>
      <c r="I243" s="12">
        <v>3</v>
      </c>
      <c r="J243" s="12">
        <v>387</v>
      </c>
      <c r="K243" s="13">
        <v>0.15</v>
      </c>
      <c r="L243" s="12">
        <v>270.89999999999998</v>
      </c>
      <c r="M243" s="12">
        <f t="shared" si="17"/>
        <v>986.85</v>
      </c>
      <c r="N243" s="14">
        <f t="shared" si="18"/>
        <v>174.15000000000009</v>
      </c>
      <c r="O243" s="14" t="str">
        <f t="shared" si="19"/>
        <v>F</v>
      </c>
    </row>
    <row r="244" spans="1:15" ht="14.4" x14ac:dyDescent="0.3">
      <c r="A244" s="10">
        <v>45616</v>
      </c>
      <c r="B244" s="11" t="str">
        <f t="shared" si="15"/>
        <v>2024</v>
      </c>
      <c r="C244" s="11" t="str">
        <f t="shared" si="16"/>
        <v>Nov</v>
      </c>
      <c r="D244" s="12">
        <v>1050</v>
      </c>
      <c r="E244" s="12" t="s">
        <v>37</v>
      </c>
      <c r="F244" s="12" t="s">
        <v>24</v>
      </c>
      <c r="G244" s="12" t="s">
        <v>21</v>
      </c>
      <c r="H244" s="12" t="s">
        <v>41</v>
      </c>
      <c r="I244" s="12">
        <v>2</v>
      </c>
      <c r="J244" s="12">
        <v>356</v>
      </c>
      <c r="K244" s="13">
        <v>0.3</v>
      </c>
      <c r="L244" s="12">
        <v>249.2</v>
      </c>
      <c r="M244" s="12">
        <f t="shared" si="17"/>
        <v>498.4</v>
      </c>
      <c r="N244" s="14">
        <f t="shared" si="18"/>
        <v>0</v>
      </c>
      <c r="O244" s="14" t="str">
        <f t="shared" si="19"/>
        <v>F</v>
      </c>
    </row>
    <row r="245" spans="1:15" ht="14.4" x14ac:dyDescent="0.3">
      <c r="A245" s="10">
        <v>45616</v>
      </c>
      <c r="B245" s="11" t="str">
        <f t="shared" si="15"/>
        <v>2024</v>
      </c>
      <c r="C245" s="11" t="str">
        <f t="shared" si="16"/>
        <v>Nov</v>
      </c>
      <c r="D245" s="12">
        <v>1283</v>
      </c>
      <c r="E245" s="12" t="s">
        <v>23</v>
      </c>
      <c r="F245" s="12" t="s">
        <v>38</v>
      </c>
      <c r="G245" s="12" t="s">
        <v>25</v>
      </c>
      <c r="H245" s="12" t="s">
        <v>26</v>
      </c>
      <c r="I245" s="12">
        <v>5</v>
      </c>
      <c r="J245" s="12">
        <v>289</v>
      </c>
      <c r="K245" s="13">
        <v>0.25</v>
      </c>
      <c r="L245" s="12">
        <v>202.3</v>
      </c>
      <c r="M245" s="12">
        <f t="shared" si="17"/>
        <v>1083.75</v>
      </c>
      <c r="N245" s="14">
        <f t="shared" si="18"/>
        <v>72.25</v>
      </c>
      <c r="O245" s="14" t="str">
        <f t="shared" si="19"/>
        <v>F</v>
      </c>
    </row>
    <row r="246" spans="1:15" ht="14.4" x14ac:dyDescent="0.3">
      <c r="A246" s="10">
        <v>45613</v>
      </c>
      <c r="B246" s="11" t="str">
        <f t="shared" si="15"/>
        <v>2024</v>
      </c>
      <c r="C246" s="11" t="str">
        <f t="shared" si="16"/>
        <v>Nov</v>
      </c>
      <c r="D246" s="12">
        <v>1232</v>
      </c>
      <c r="E246" s="12" t="s">
        <v>27</v>
      </c>
      <c r="F246" s="12" t="s">
        <v>38</v>
      </c>
      <c r="G246" s="12" t="s">
        <v>25</v>
      </c>
      <c r="H246" s="12" t="s">
        <v>31</v>
      </c>
      <c r="I246" s="12">
        <v>7</v>
      </c>
      <c r="J246" s="12">
        <v>209</v>
      </c>
      <c r="K246" s="13">
        <v>0.3</v>
      </c>
      <c r="L246" s="12">
        <v>146.30000000000001</v>
      </c>
      <c r="M246" s="12">
        <f t="shared" si="17"/>
        <v>1024.0999999999999</v>
      </c>
      <c r="N246" s="14">
        <f t="shared" si="18"/>
        <v>0</v>
      </c>
      <c r="O246" s="14" t="str">
        <f t="shared" si="19"/>
        <v>F</v>
      </c>
    </row>
    <row r="247" spans="1:15" ht="14.4" x14ac:dyDescent="0.3">
      <c r="A247" s="10">
        <v>45613</v>
      </c>
      <c r="B247" s="11" t="str">
        <f t="shared" si="15"/>
        <v>2024</v>
      </c>
      <c r="C247" s="11" t="str">
        <f t="shared" si="16"/>
        <v>Nov</v>
      </c>
      <c r="D247" s="12">
        <v>1467</v>
      </c>
      <c r="E247" s="12" t="s">
        <v>27</v>
      </c>
      <c r="F247" s="12" t="s">
        <v>38</v>
      </c>
      <c r="G247" s="12" t="s">
        <v>25</v>
      </c>
      <c r="H247" s="12" t="s">
        <v>31</v>
      </c>
      <c r="I247" s="12">
        <v>10</v>
      </c>
      <c r="J247" s="12">
        <v>458</v>
      </c>
      <c r="K247" s="13">
        <v>0.25</v>
      </c>
      <c r="L247" s="12">
        <v>320.60000000000002</v>
      </c>
      <c r="M247" s="12">
        <f t="shared" si="17"/>
        <v>3435</v>
      </c>
      <c r="N247" s="14">
        <f t="shared" si="18"/>
        <v>229</v>
      </c>
      <c r="O247" s="14" t="str">
        <f t="shared" si="19"/>
        <v>F</v>
      </c>
    </row>
    <row r="248" spans="1:15" ht="14.4" x14ac:dyDescent="0.3">
      <c r="A248" s="10">
        <v>45612</v>
      </c>
      <c r="B248" s="11" t="str">
        <f t="shared" si="15"/>
        <v>2024</v>
      </c>
      <c r="C248" s="11" t="str">
        <f t="shared" si="16"/>
        <v>Nov</v>
      </c>
      <c r="D248" s="12">
        <v>1216</v>
      </c>
      <c r="E248" s="12" t="s">
        <v>39</v>
      </c>
      <c r="F248" s="12" t="s">
        <v>24</v>
      </c>
      <c r="G248" s="12" t="s">
        <v>25</v>
      </c>
      <c r="H248" s="12" t="s">
        <v>18</v>
      </c>
      <c r="I248" s="12">
        <v>3</v>
      </c>
      <c r="J248" s="12">
        <v>165</v>
      </c>
      <c r="K248" s="13">
        <v>0.2</v>
      </c>
      <c r="L248" s="12">
        <v>115.5</v>
      </c>
      <c r="M248" s="12">
        <f t="shared" si="17"/>
        <v>396</v>
      </c>
      <c r="N248" s="14">
        <f t="shared" si="18"/>
        <v>49.5</v>
      </c>
      <c r="O248" s="14" t="str">
        <f t="shared" si="19"/>
        <v>F</v>
      </c>
    </row>
    <row r="249" spans="1:15" ht="14.4" x14ac:dyDescent="0.3">
      <c r="A249" s="10">
        <v>45611</v>
      </c>
      <c r="B249" s="11" t="str">
        <f t="shared" si="15"/>
        <v>2024</v>
      </c>
      <c r="C249" s="11" t="str">
        <f t="shared" si="16"/>
        <v>Nov</v>
      </c>
      <c r="D249" s="12">
        <v>1105</v>
      </c>
      <c r="E249" s="12" t="s">
        <v>37</v>
      </c>
      <c r="F249" s="12" t="s">
        <v>24</v>
      </c>
      <c r="G249" s="12" t="s">
        <v>34</v>
      </c>
      <c r="H249" s="12" t="s">
        <v>31</v>
      </c>
      <c r="I249" s="12">
        <v>7</v>
      </c>
      <c r="J249" s="12">
        <v>102</v>
      </c>
      <c r="K249" s="13">
        <v>0.05</v>
      </c>
      <c r="L249" s="12">
        <v>71.399999999999991</v>
      </c>
      <c r="M249" s="12">
        <f t="shared" si="17"/>
        <v>678.3</v>
      </c>
      <c r="N249" s="14">
        <f t="shared" si="18"/>
        <v>178.5</v>
      </c>
      <c r="O249" s="14" t="str">
        <f t="shared" si="19"/>
        <v>F</v>
      </c>
    </row>
    <row r="250" spans="1:15" ht="14.4" x14ac:dyDescent="0.3">
      <c r="A250" s="10">
        <v>45610</v>
      </c>
      <c r="B250" s="11" t="str">
        <f t="shared" si="15"/>
        <v>2024</v>
      </c>
      <c r="C250" s="11" t="str">
        <f t="shared" si="16"/>
        <v>Nov</v>
      </c>
      <c r="D250" s="12">
        <v>1236</v>
      </c>
      <c r="E250" s="12" t="s">
        <v>39</v>
      </c>
      <c r="F250" s="12" t="s">
        <v>16</v>
      </c>
      <c r="G250" s="12" t="s">
        <v>34</v>
      </c>
      <c r="H250" s="12" t="s">
        <v>40</v>
      </c>
      <c r="I250" s="12">
        <v>2</v>
      </c>
      <c r="J250" s="12">
        <v>162</v>
      </c>
      <c r="K250" s="13">
        <v>0.2</v>
      </c>
      <c r="L250" s="12">
        <v>113.4</v>
      </c>
      <c r="M250" s="12">
        <f t="shared" si="17"/>
        <v>259.2</v>
      </c>
      <c r="N250" s="14">
        <f t="shared" si="18"/>
        <v>32.399999999999977</v>
      </c>
      <c r="O250" s="14" t="str">
        <f t="shared" si="19"/>
        <v>F</v>
      </c>
    </row>
    <row r="251" spans="1:15" ht="14.4" x14ac:dyDescent="0.3">
      <c r="A251" s="10">
        <v>45608</v>
      </c>
      <c r="B251" s="11" t="str">
        <f t="shared" si="15"/>
        <v>2024</v>
      </c>
      <c r="C251" s="11" t="str">
        <f t="shared" si="16"/>
        <v>Nov</v>
      </c>
      <c r="D251" s="12">
        <v>1061</v>
      </c>
      <c r="E251" s="12" t="s">
        <v>39</v>
      </c>
      <c r="F251" s="12" t="s">
        <v>24</v>
      </c>
      <c r="G251" s="12" t="s">
        <v>34</v>
      </c>
      <c r="H251" s="12" t="s">
        <v>18</v>
      </c>
      <c r="I251" s="12">
        <v>4</v>
      </c>
      <c r="J251" s="12">
        <v>314</v>
      </c>
      <c r="K251" s="13">
        <v>0.2</v>
      </c>
      <c r="L251" s="12">
        <v>219.8</v>
      </c>
      <c r="M251" s="12">
        <f t="shared" si="17"/>
        <v>1004.8000000000001</v>
      </c>
      <c r="N251" s="14">
        <f t="shared" si="18"/>
        <v>125.60000000000002</v>
      </c>
      <c r="O251" s="14" t="str">
        <f t="shared" si="19"/>
        <v>F</v>
      </c>
    </row>
    <row r="252" spans="1:15" ht="14.4" x14ac:dyDescent="0.3">
      <c r="A252" s="10">
        <v>45608</v>
      </c>
      <c r="B252" s="11" t="str">
        <f t="shared" si="15"/>
        <v>2024</v>
      </c>
      <c r="C252" s="11" t="str">
        <f t="shared" si="16"/>
        <v>Nov</v>
      </c>
      <c r="D252" s="12">
        <v>1227</v>
      </c>
      <c r="E252" s="12" t="s">
        <v>32</v>
      </c>
      <c r="F252" s="12" t="s">
        <v>16</v>
      </c>
      <c r="G252" s="12" t="s">
        <v>21</v>
      </c>
      <c r="H252" s="12" t="s">
        <v>29</v>
      </c>
      <c r="I252" s="12">
        <v>1</v>
      </c>
      <c r="J252" s="12">
        <v>283</v>
      </c>
      <c r="K252" s="13">
        <v>0.3</v>
      </c>
      <c r="L252" s="12">
        <v>198.1</v>
      </c>
      <c r="M252" s="12">
        <f t="shared" si="17"/>
        <v>198.1</v>
      </c>
      <c r="N252" s="14">
        <f t="shared" si="18"/>
        <v>0</v>
      </c>
      <c r="O252" s="14" t="str">
        <f t="shared" si="19"/>
        <v>F</v>
      </c>
    </row>
    <row r="253" spans="1:15" ht="14.4" x14ac:dyDescent="0.3">
      <c r="A253" s="10">
        <v>45606</v>
      </c>
      <c r="B253" s="11" t="str">
        <f t="shared" si="15"/>
        <v>2024</v>
      </c>
      <c r="C253" s="11" t="str">
        <f t="shared" si="16"/>
        <v>Nov</v>
      </c>
      <c r="D253" s="12">
        <v>1120</v>
      </c>
      <c r="E253" s="12" t="s">
        <v>23</v>
      </c>
      <c r="F253" s="12" t="s">
        <v>16</v>
      </c>
      <c r="G253" s="12" t="s">
        <v>17</v>
      </c>
      <c r="H253" s="12" t="s">
        <v>18</v>
      </c>
      <c r="I253" s="12">
        <v>6</v>
      </c>
      <c r="J253" s="12">
        <v>393</v>
      </c>
      <c r="K253" s="13">
        <v>0</v>
      </c>
      <c r="L253" s="12">
        <v>275.10000000000002</v>
      </c>
      <c r="M253" s="12">
        <f t="shared" si="17"/>
        <v>2358</v>
      </c>
      <c r="N253" s="14">
        <f t="shared" si="18"/>
        <v>707.39999999999986</v>
      </c>
      <c r="O253" s="14" t="str">
        <f t="shared" si="19"/>
        <v>F</v>
      </c>
    </row>
    <row r="254" spans="1:15" ht="14.4" x14ac:dyDescent="0.3">
      <c r="A254" s="10">
        <v>45605</v>
      </c>
      <c r="B254" s="11" t="str">
        <f t="shared" si="15"/>
        <v>2024</v>
      </c>
      <c r="C254" s="11" t="str">
        <f t="shared" si="16"/>
        <v>Nov</v>
      </c>
      <c r="D254" s="12">
        <v>1066</v>
      </c>
      <c r="E254" s="12" t="s">
        <v>15</v>
      </c>
      <c r="F254" s="12" t="s">
        <v>16</v>
      </c>
      <c r="G254" s="12" t="s">
        <v>17</v>
      </c>
      <c r="H254" s="12" t="s">
        <v>18</v>
      </c>
      <c r="I254" s="12">
        <v>7</v>
      </c>
      <c r="J254" s="12">
        <v>141</v>
      </c>
      <c r="K254" s="13">
        <v>0.15</v>
      </c>
      <c r="L254" s="12">
        <v>98.699999999999989</v>
      </c>
      <c r="M254" s="12">
        <f t="shared" si="17"/>
        <v>838.94999999999993</v>
      </c>
      <c r="N254" s="14">
        <f t="shared" si="18"/>
        <v>148.05000000000007</v>
      </c>
      <c r="O254" s="14" t="str">
        <f t="shared" si="19"/>
        <v>F</v>
      </c>
    </row>
    <row r="255" spans="1:15" ht="14.4" x14ac:dyDescent="0.3">
      <c r="A255" s="10">
        <v>45603</v>
      </c>
      <c r="B255" s="11" t="str">
        <f t="shared" si="15"/>
        <v>2024</v>
      </c>
      <c r="C255" s="11" t="str">
        <f t="shared" si="16"/>
        <v>Nov</v>
      </c>
      <c r="D255" s="12">
        <v>1448</v>
      </c>
      <c r="E255" s="12" t="s">
        <v>15</v>
      </c>
      <c r="F255" s="12" t="s">
        <v>20</v>
      </c>
      <c r="G255" s="12" t="s">
        <v>28</v>
      </c>
      <c r="H255" s="12" t="s">
        <v>40</v>
      </c>
      <c r="I255" s="12">
        <v>7</v>
      </c>
      <c r="J255" s="12">
        <v>391</v>
      </c>
      <c r="K255" s="13">
        <v>0</v>
      </c>
      <c r="L255" s="12">
        <v>273.7</v>
      </c>
      <c r="M255" s="12">
        <f t="shared" si="17"/>
        <v>2737</v>
      </c>
      <c r="N255" s="14">
        <f t="shared" si="18"/>
        <v>821.10000000000014</v>
      </c>
      <c r="O255" s="14" t="str">
        <f t="shared" si="19"/>
        <v>F</v>
      </c>
    </row>
    <row r="256" spans="1:15" ht="14.4" x14ac:dyDescent="0.3">
      <c r="A256" s="10">
        <v>45602</v>
      </c>
      <c r="B256" s="11" t="str">
        <f t="shared" si="15"/>
        <v>2024</v>
      </c>
      <c r="C256" s="11" t="str">
        <f t="shared" si="16"/>
        <v>Nov</v>
      </c>
      <c r="D256" s="12">
        <v>1053</v>
      </c>
      <c r="E256" s="12" t="s">
        <v>27</v>
      </c>
      <c r="F256" s="12" t="s">
        <v>24</v>
      </c>
      <c r="G256" s="12" t="s">
        <v>28</v>
      </c>
      <c r="H256" s="12" t="s">
        <v>22</v>
      </c>
      <c r="I256" s="12">
        <v>2</v>
      </c>
      <c r="J256" s="12">
        <v>378</v>
      </c>
      <c r="K256" s="13">
        <v>0.25</v>
      </c>
      <c r="L256" s="12">
        <v>264.60000000000002</v>
      </c>
      <c r="M256" s="12">
        <f t="shared" si="17"/>
        <v>567</v>
      </c>
      <c r="N256" s="14">
        <f t="shared" si="18"/>
        <v>37.799999999999955</v>
      </c>
      <c r="O256" s="14" t="str">
        <f t="shared" si="19"/>
        <v>F</v>
      </c>
    </row>
    <row r="257" spans="1:15" ht="14.4" x14ac:dyDescent="0.3">
      <c r="A257" s="10">
        <v>45602</v>
      </c>
      <c r="B257" s="11" t="str">
        <f t="shared" si="15"/>
        <v>2024</v>
      </c>
      <c r="C257" s="11" t="str">
        <f t="shared" si="16"/>
        <v>Nov</v>
      </c>
      <c r="D257" s="12">
        <v>1365</v>
      </c>
      <c r="E257" s="12" t="s">
        <v>27</v>
      </c>
      <c r="F257" s="12" t="s">
        <v>24</v>
      </c>
      <c r="G257" s="12" t="s">
        <v>34</v>
      </c>
      <c r="H257" s="12" t="s">
        <v>36</v>
      </c>
      <c r="I257" s="12">
        <v>4</v>
      </c>
      <c r="J257" s="12">
        <v>494</v>
      </c>
      <c r="K257" s="13">
        <v>0.2</v>
      </c>
      <c r="L257" s="12">
        <v>345.8</v>
      </c>
      <c r="M257" s="12">
        <f t="shared" si="17"/>
        <v>1580.8000000000002</v>
      </c>
      <c r="N257" s="14">
        <f t="shared" si="18"/>
        <v>197.60000000000014</v>
      </c>
      <c r="O257" s="14" t="str">
        <f t="shared" si="19"/>
        <v>F</v>
      </c>
    </row>
    <row r="258" spans="1:15" ht="14.4" x14ac:dyDescent="0.3">
      <c r="A258" s="10">
        <v>45601</v>
      </c>
      <c r="B258" s="11" t="str">
        <f t="shared" ref="B258:B321" si="20">TEXT(A258,"yyyy")</f>
        <v>2024</v>
      </c>
      <c r="C258" s="11" t="str">
        <f t="shared" ref="C258:C321" si="21">TEXT(A258,"mmm")</f>
        <v>Nov</v>
      </c>
      <c r="D258" s="12">
        <v>1205</v>
      </c>
      <c r="E258" s="12" t="s">
        <v>30</v>
      </c>
      <c r="F258" s="12" t="s">
        <v>24</v>
      </c>
      <c r="G258" s="12" t="s">
        <v>17</v>
      </c>
      <c r="H258" s="12" t="s">
        <v>26</v>
      </c>
      <c r="I258" s="12">
        <v>7</v>
      </c>
      <c r="J258" s="12">
        <v>380</v>
      </c>
      <c r="K258" s="13">
        <v>0.15</v>
      </c>
      <c r="L258" s="12">
        <v>266</v>
      </c>
      <c r="M258" s="12">
        <f t="shared" ref="M258:M321" si="22">I258*J258*(1-K258)</f>
        <v>2261</v>
      </c>
      <c r="N258" s="14">
        <f t="shared" ref="N258:N321" si="23">M258-L258*I258</f>
        <v>399</v>
      </c>
      <c r="O258" s="14" t="str">
        <f t="shared" ref="O258:O321" si="24">IF(COUNTIF(E258:E757,E258)&gt;1,"F","O")</f>
        <v>F</v>
      </c>
    </row>
    <row r="259" spans="1:15" ht="14.4" x14ac:dyDescent="0.3">
      <c r="A259" s="10">
        <v>45601</v>
      </c>
      <c r="B259" s="11" t="str">
        <f t="shared" si="20"/>
        <v>2024</v>
      </c>
      <c r="C259" s="11" t="str">
        <f t="shared" si="21"/>
        <v>Nov</v>
      </c>
      <c r="D259" s="12">
        <v>1273</v>
      </c>
      <c r="E259" s="12" t="s">
        <v>37</v>
      </c>
      <c r="F259" s="12" t="s">
        <v>24</v>
      </c>
      <c r="G259" s="12" t="s">
        <v>33</v>
      </c>
      <c r="H259" s="12" t="s">
        <v>31</v>
      </c>
      <c r="I259" s="12">
        <v>10</v>
      </c>
      <c r="J259" s="12">
        <v>172</v>
      </c>
      <c r="K259" s="13">
        <v>0</v>
      </c>
      <c r="L259" s="12">
        <v>120.4</v>
      </c>
      <c r="M259" s="12">
        <f t="shared" si="22"/>
        <v>1720</v>
      </c>
      <c r="N259" s="14">
        <f t="shared" si="23"/>
        <v>516</v>
      </c>
      <c r="O259" s="14" t="str">
        <f t="shared" si="24"/>
        <v>F</v>
      </c>
    </row>
    <row r="260" spans="1:15" ht="14.4" x14ac:dyDescent="0.3">
      <c r="A260" s="10">
        <v>45600</v>
      </c>
      <c r="B260" s="11" t="str">
        <f t="shared" si="20"/>
        <v>2024</v>
      </c>
      <c r="C260" s="11" t="str">
        <f t="shared" si="21"/>
        <v>Nov</v>
      </c>
      <c r="D260" s="12">
        <v>1389</v>
      </c>
      <c r="E260" s="12" t="s">
        <v>23</v>
      </c>
      <c r="F260" s="12" t="s">
        <v>24</v>
      </c>
      <c r="G260" s="12" t="s">
        <v>25</v>
      </c>
      <c r="H260" s="12" t="s">
        <v>40</v>
      </c>
      <c r="I260" s="12">
        <v>7</v>
      </c>
      <c r="J260" s="12">
        <v>279</v>
      </c>
      <c r="K260" s="13">
        <v>0.05</v>
      </c>
      <c r="L260" s="12">
        <v>195.3</v>
      </c>
      <c r="M260" s="12">
        <f t="shared" si="22"/>
        <v>1855.35</v>
      </c>
      <c r="N260" s="14">
        <f t="shared" si="23"/>
        <v>488.24999999999977</v>
      </c>
      <c r="O260" s="14" t="str">
        <f t="shared" si="24"/>
        <v>F</v>
      </c>
    </row>
    <row r="261" spans="1:15" ht="14.4" x14ac:dyDescent="0.3">
      <c r="A261" s="10">
        <v>45600</v>
      </c>
      <c r="B261" s="11" t="str">
        <f t="shared" si="20"/>
        <v>2024</v>
      </c>
      <c r="C261" s="11" t="str">
        <f t="shared" si="21"/>
        <v>Nov</v>
      </c>
      <c r="D261" s="12">
        <v>1417</v>
      </c>
      <c r="E261" s="12" t="s">
        <v>37</v>
      </c>
      <c r="F261" s="12" t="s">
        <v>24</v>
      </c>
      <c r="G261" s="12" t="s">
        <v>17</v>
      </c>
      <c r="H261" s="12" t="s">
        <v>31</v>
      </c>
      <c r="I261" s="12">
        <v>7</v>
      </c>
      <c r="J261" s="12">
        <v>148</v>
      </c>
      <c r="K261" s="13">
        <v>0.3</v>
      </c>
      <c r="L261" s="12">
        <v>103.6</v>
      </c>
      <c r="M261" s="12">
        <f t="shared" si="22"/>
        <v>725.19999999999993</v>
      </c>
      <c r="N261" s="14">
        <f t="shared" si="23"/>
        <v>0</v>
      </c>
      <c r="O261" s="14" t="str">
        <f t="shared" si="24"/>
        <v>F</v>
      </c>
    </row>
    <row r="262" spans="1:15" ht="14.4" x14ac:dyDescent="0.3">
      <c r="A262" s="10">
        <v>45599</v>
      </c>
      <c r="B262" s="11" t="str">
        <f t="shared" si="20"/>
        <v>2024</v>
      </c>
      <c r="C262" s="11" t="str">
        <f t="shared" si="21"/>
        <v>Nov</v>
      </c>
      <c r="D262" s="12">
        <v>1174</v>
      </c>
      <c r="E262" s="12" t="s">
        <v>42</v>
      </c>
      <c r="F262" s="12" t="s">
        <v>20</v>
      </c>
      <c r="G262" s="12" t="s">
        <v>21</v>
      </c>
      <c r="H262" s="12" t="s">
        <v>22</v>
      </c>
      <c r="I262" s="12">
        <v>4</v>
      </c>
      <c r="J262" s="12">
        <v>101</v>
      </c>
      <c r="K262" s="13">
        <v>0.15</v>
      </c>
      <c r="L262" s="12">
        <v>70.699999999999989</v>
      </c>
      <c r="M262" s="12">
        <f t="shared" si="22"/>
        <v>343.4</v>
      </c>
      <c r="N262" s="14">
        <f t="shared" si="23"/>
        <v>60.600000000000023</v>
      </c>
      <c r="O262" s="14" t="str">
        <f t="shared" si="24"/>
        <v>F</v>
      </c>
    </row>
    <row r="263" spans="1:15" ht="14.4" x14ac:dyDescent="0.3">
      <c r="A263" s="10">
        <v>45595</v>
      </c>
      <c r="B263" s="11" t="str">
        <f t="shared" si="20"/>
        <v>2024</v>
      </c>
      <c r="C263" s="11" t="str">
        <f t="shared" si="21"/>
        <v>Oct</v>
      </c>
      <c r="D263" s="12">
        <v>1429</v>
      </c>
      <c r="E263" s="12" t="s">
        <v>15</v>
      </c>
      <c r="F263" s="12" t="s">
        <v>24</v>
      </c>
      <c r="G263" s="12" t="s">
        <v>17</v>
      </c>
      <c r="H263" s="12" t="s">
        <v>22</v>
      </c>
      <c r="I263" s="12">
        <v>3</v>
      </c>
      <c r="J263" s="12">
        <v>240</v>
      </c>
      <c r="K263" s="13">
        <v>0.2</v>
      </c>
      <c r="L263" s="12">
        <v>168</v>
      </c>
      <c r="M263" s="12">
        <f t="shared" si="22"/>
        <v>576</v>
      </c>
      <c r="N263" s="14">
        <f t="shared" si="23"/>
        <v>72</v>
      </c>
      <c r="O263" s="14" t="str">
        <f t="shared" si="24"/>
        <v>F</v>
      </c>
    </row>
    <row r="264" spans="1:15" ht="14.4" x14ac:dyDescent="0.3">
      <c r="A264" s="10">
        <v>45593</v>
      </c>
      <c r="B264" s="11" t="str">
        <f t="shared" si="20"/>
        <v>2024</v>
      </c>
      <c r="C264" s="11" t="str">
        <f t="shared" si="21"/>
        <v>Oct</v>
      </c>
      <c r="D264" s="12">
        <v>1023</v>
      </c>
      <c r="E264" s="12" t="s">
        <v>42</v>
      </c>
      <c r="F264" s="12" t="s">
        <v>16</v>
      </c>
      <c r="G264" s="12" t="s">
        <v>21</v>
      </c>
      <c r="H264" s="12" t="s">
        <v>29</v>
      </c>
      <c r="I264" s="12">
        <v>5</v>
      </c>
      <c r="J264" s="12">
        <v>463</v>
      </c>
      <c r="K264" s="13">
        <v>0.15</v>
      </c>
      <c r="L264" s="12">
        <v>324.10000000000002</v>
      </c>
      <c r="M264" s="12">
        <f t="shared" si="22"/>
        <v>1967.75</v>
      </c>
      <c r="N264" s="14">
        <f t="shared" si="23"/>
        <v>347.25</v>
      </c>
      <c r="O264" s="14" t="str">
        <f t="shared" si="24"/>
        <v>F</v>
      </c>
    </row>
    <row r="265" spans="1:15" ht="14.4" x14ac:dyDescent="0.3">
      <c r="A265" s="10">
        <v>45593</v>
      </c>
      <c r="B265" s="11" t="str">
        <f t="shared" si="20"/>
        <v>2024</v>
      </c>
      <c r="C265" s="11" t="str">
        <f t="shared" si="21"/>
        <v>Oct</v>
      </c>
      <c r="D265" s="12">
        <v>1009</v>
      </c>
      <c r="E265" s="12" t="s">
        <v>27</v>
      </c>
      <c r="F265" s="12" t="s">
        <v>20</v>
      </c>
      <c r="G265" s="12" t="s">
        <v>25</v>
      </c>
      <c r="H265" s="12" t="s">
        <v>18</v>
      </c>
      <c r="I265" s="12">
        <v>2</v>
      </c>
      <c r="J265" s="12">
        <v>152</v>
      </c>
      <c r="K265" s="13">
        <v>0.2</v>
      </c>
      <c r="L265" s="12">
        <v>106.4</v>
      </c>
      <c r="M265" s="12">
        <f t="shared" si="22"/>
        <v>243.20000000000002</v>
      </c>
      <c r="N265" s="14">
        <f t="shared" si="23"/>
        <v>30.400000000000006</v>
      </c>
      <c r="O265" s="14" t="str">
        <f t="shared" si="24"/>
        <v>F</v>
      </c>
    </row>
    <row r="266" spans="1:15" ht="14.4" x14ac:dyDescent="0.3">
      <c r="A266" s="10">
        <v>45593</v>
      </c>
      <c r="B266" s="11" t="str">
        <f t="shared" si="20"/>
        <v>2024</v>
      </c>
      <c r="C266" s="11" t="str">
        <f t="shared" si="21"/>
        <v>Oct</v>
      </c>
      <c r="D266" s="12">
        <v>1169</v>
      </c>
      <c r="E266" s="12" t="s">
        <v>39</v>
      </c>
      <c r="F266" s="12" t="s">
        <v>20</v>
      </c>
      <c r="G266" s="12" t="s">
        <v>21</v>
      </c>
      <c r="H266" s="12" t="s">
        <v>40</v>
      </c>
      <c r="I266" s="12">
        <v>4</v>
      </c>
      <c r="J266" s="12">
        <v>228</v>
      </c>
      <c r="K266" s="13">
        <v>0.2</v>
      </c>
      <c r="L266" s="12">
        <v>159.6</v>
      </c>
      <c r="M266" s="12">
        <f t="shared" si="22"/>
        <v>729.6</v>
      </c>
      <c r="N266" s="14">
        <f t="shared" si="23"/>
        <v>91.200000000000045</v>
      </c>
      <c r="O266" s="14" t="str">
        <f t="shared" si="24"/>
        <v>F</v>
      </c>
    </row>
    <row r="267" spans="1:15" ht="14.4" x14ac:dyDescent="0.3">
      <c r="A267" s="10">
        <v>45592</v>
      </c>
      <c r="B267" s="11" t="str">
        <f t="shared" si="20"/>
        <v>2024</v>
      </c>
      <c r="C267" s="11" t="str">
        <f t="shared" si="21"/>
        <v>Oct</v>
      </c>
      <c r="D267" s="12">
        <v>1477</v>
      </c>
      <c r="E267" s="12" t="s">
        <v>32</v>
      </c>
      <c r="F267" s="12" t="s">
        <v>20</v>
      </c>
      <c r="G267" s="12" t="s">
        <v>33</v>
      </c>
      <c r="H267" s="12" t="s">
        <v>22</v>
      </c>
      <c r="I267" s="12">
        <v>3</v>
      </c>
      <c r="J267" s="12">
        <v>313</v>
      </c>
      <c r="K267" s="13">
        <v>0.2</v>
      </c>
      <c r="L267" s="12">
        <v>219.1</v>
      </c>
      <c r="M267" s="12">
        <f t="shared" si="22"/>
        <v>751.2</v>
      </c>
      <c r="N267" s="14">
        <f t="shared" si="23"/>
        <v>93.900000000000091</v>
      </c>
      <c r="O267" s="14" t="str">
        <f t="shared" si="24"/>
        <v>F</v>
      </c>
    </row>
    <row r="268" spans="1:15" ht="14.4" x14ac:dyDescent="0.3">
      <c r="A268" s="10">
        <v>45592</v>
      </c>
      <c r="B268" s="11" t="str">
        <f t="shared" si="20"/>
        <v>2024</v>
      </c>
      <c r="C268" s="11" t="str">
        <f t="shared" si="21"/>
        <v>Oct</v>
      </c>
      <c r="D268" s="12">
        <v>1485</v>
      </c>
      <c r="E268" s="12" t="s">
        <v>23</v>
      </c>
      <c r="F268" s="12" t="s">
        <v>20</v>
      </c>
      <c r="G268" s="12" t="s">
        <v>25</v>
      </c>
      <c r="H268" s="12" t="s">
        <v>41</v>
      </c>
      <c r="I268" s="12">
        <v>3</v>
      </c>
      <c r="J268" s="12">
        <v>337</v>
      </c>
      <c r="K268" s="13">
        <v>0.05</v>
      </c>
      <c r="L268" s="12">
        <v>235.9</v>
      </c>
      <c r="M268" s="12">
        <f t="shared" si="22"/>
        <v>960.44999999999993</v>
      </c>
      <c r="N268" s="14">
        <f t="shared" si="23"/>
        <v>252.74999999999989</v>
      </c>
      <c r="O268" s="14" t="str">
        <f t="shared" si="24"/>
        <v>F</v>
      </c>
    </row>
    <row r="269" spans="1:15" ht="14.4" x14ac:dyDescent="0.3">
      <c r="A269" s="10">
        <v>45591</v>
      </c>
      <c r="B269" s="11" t="str">
        <f t="shared" si="20"/>
        <v>2024</v>
      </c>
      <c r="C269" s="11" t="str">
        <f t="shared" si="21"/>
        <v>Oct</v>
      </c>
      <c r="D269" s="12">
        <v>1444</v>
      </c>
      <c r="E269" s="12" t="s">
        <v>30</v>
      </c>
      <c r="F269" s="12" t="s">
        <v>16</v>
      </c>
      <c r="G269" s="12" t="s">
        <v>34</v>
      </c>
      <c r="H269" s="12" t="s">
        <v>31</v>
      </c>
      <c r="I269" s="12">
        <v>5</v>
      </c>
      <c r="J269" s="12">
        <v>329</v>
      </c>
      <c r="K269" s="13">
        <v>0.2</v>
      </c>
      <c r="L269" s="12">
        <v>230.3</v>
      </c>
      <c r="M269" s="12">
        <f t="shared" si="22"/>
        <v>1316</v>
      </c>
      <c r="N269" s="14">
        <f t="shared" si="23"/>
        <v>164.5</v>
      </c>
      <c r="O269" s="14" t="str">
        <f t="shared" si="24"/>
        <v>F</v>
      </c>
    </row>
    <row r="270" spans="1:15" ht="14.4" x14ac:dyDescent="0.3">
      <c r="A270" s="10">
        <v>45590</v>
      </c>
      <c r="B270" s="11" t="str">
        <f t="shared" si="20"/>
        <v>2024</v>
      </c>
      <c r="C270" s="11" t="str">
        <f t="shared" si="21"/>
        <v>Oct</v>
      </c>
      <c r="D270" s="12">
        <v>1349</v>
      </c>
      <c r="E270" s="12" t="s">
        <v>32</v>
      </c>
      <c r="F270" s="12" t="s">
        <v>20</v>
      </c>
      <c r="G270" s="12" t="s">
        <v>28</v>
      </c>
      <c r="H270" s="12" t="s">
        <v>41</v>
      </c>
      <c r="I270" s="12">
        <v>6</v>
      </c>
      <c r="J270" s="12">
        <v>153</v>
      </c>
      <c r="K270" s="13">
        <v>0.1</v>
      </c>
      <c r="L270" s="12">
        <v>107.1</v>
      </c>
      <c r="M270" s="12">
        <f t="shared" si="22"/>
        <v>826.2</v>
      </c>
      <c r="N270" s="14">
        <f t="shared" si="23"/>
        <v>183.60000000000014</v>
      </c>
      <c r="O270" s="14" t="str">
        <f t="shared" si="24"/>
        <v>F</v>
      </c>
    </row>
    <row r="271" spans="1:15" ht="14.4" x14ac:dyDescent="0.3">
      <c r="A271" s="10">
        <v>45589</v>
      </c>
      <c r="B271" s="11" t="str">
        <f t="shared" si="20"/>
        <v>2024</v>
      </c>
      <c r="C271" s="11" t="str">
        <f t="shared" si="21"/>
        <v>Oct</v>
      </c>
      <c r="D271" s="12">
        <v>1233</v>
      </c>
      <c r="E271" s="12" t="s">
        <v>37</v>
      </c>
      <c r="F271" s="12" t="s">
        <v>38</v>
      </c>
      <c r="G271" s="12" t="s">
        <v>17</v>
      </c>
      <c r="H271" s="12" t="s">
        <v>36</v>
      </c>
      <c r="I271" s="12">
        <v>3</v>
      </c>
      <c r="J271" s="12">
        <v>145</v>
      </c>
      <c r="K271" s="13">
        <v>0.25</v>
      </c>
      <c r="L271" s="12">
        <v>101.5</v>
      </c>
      <c r="M271" s="12">
        <f t="shared" si="22"/>
        <v>326.25</v>
      </c>
      <c r="N271" s="14">
        <f t="shared" si="23"/>
        <v>21.75</v>
      </c>
      <c r="O271" s="14" t="str">
        <f t="shared" si="24"/>
        <v>F</v>
      </c>
    </row>
    <row r="272" spans="1:15" ht="14.4" x14ac:dyDescent="0.3">
      <c r="A272" s="10">
        <v>45588</v>
      </c>
      <c r="B272" s="11" t="str">
        <f t="shared" si="20"/>
        <v>2024</v>
      </c>
      <c r="C272" s="11" t="str">
        <f t="shared" si="21"/>
        <v>Oct</v>
      </c>
      <c r="D272" s="12">
        <v>1473</v>
      </c>
      <c r="E272" s="12" t="s">
        <v>35</v>
      </c>
      <c r="F272" s="12" t="s">
        <v>16</v>
      </c>
      <c r="G272" s="12" t="s">
        <v>34</v>
      </c>
      <c r="H272" s="12" t="s">
        <v>26</v>
      </c>
      <c r="I272" s="12">
        <v>10</v>
      </c>
      <c r="J272" s="12">
        <v>85</v>
      </c>
      <c r="K272" s="13">
        <v>0.3</v>
      </c>
      <c r="L272" s="12">
        <v>59.499999999999993</v>
      </c>
      <c r="M272" s="12">
        <f t="shared" si="22"/>
        <v>595</v>
      </c>
      <c r="N272" s="14">
        <f t="shared" si="23"/>
        <v>0</v>
      </c>
      <c r="O272" s="14" t="str">
        <f t="shared" si="24"/>
        <v>F</v>
      </c>
    </row>
    <row r="273" spans="1:15" ht="14.4" x14ac:dyDescent="0.3">
      <c r="A273" s="10">
        <v>45587</v>
      </c>
      <c r="B273" s="11" t="str">
        <f t="shared" si="20"/>
        <v>2024</v>
      </c>
      <c r="C273" s="11" t="str">
        <f t="shared" si="21"/>
        <v>Oct</v>
      </c>
      <c r="D273" s="12">
        <v>1173</v>
      </c>
      <c r="E273" s="12" t="s">
        <v>19</v>
      </c>
      <c r="F273" s="12" t="s">
        <v>16</v>
      </c>
      <c r="G273" s="12" t="s">
        <v>17</v>
      </c>
      <c r="H273" s="12" t="s">
        <v>26</v>
      </c>
      <c r="I273" s="12">
        <v>6</v>
      </c>
      <c r="J273" s="12">
        <v>290</v>
      </c>
      <c r="K273" s="13">
        <v>0.1</v>
      </c>
      <c r="L273" s="12">
        <v>203</v>
      </c>
      <c r="M273" s="12">
        <f t="shared" si="22"/>
        <v>1566</v>
      </c>
      <c r="N273" s="14">
        <f t="shared" si="23"/>
        <v>348</v>
      </c>
      <c r="O273" s="14" t="str">
        <f t="shared" si="24"/>
        <v>F</v>
      </c>
    </row>
    <row r="274" spans="1:15" ht="14.4" x14ac:dyDescent="0.3">
      <c r="A274" s="10">
        <v>45586</v>
      </c>
      <c r="B274" s="11" t="str">
        <f t="shared" si="20"/>
        <v>2024</v>
      </c>
      <c r="C274" s="11" t="str">
        <f t="shared" si="21"/>
        <v>Oct</v>
      </c>
      <c r="D274" s="12">
        <v>1077</v>
      </c>
      <c r="E274" s="12" t="s">
        <v>15</v>
      </c>
      <c r="F274" s="12" t="s">
        <v>38</v>
      </c>
      <c r="G274" s="12" t="s">
        <v>25</v>
      </c>
      <c r="H274" s="12" t="s">
        <v>36</v>
      </c>
      <c r="I274" s="12">
        <v>8</v>
      </c>
      <c r="J274" s="12">
        <v>409</v>
      </c>
      <c r="K274" s="13">
        <v>0</v>
      </c>
      <c r="L274" s="12">
        <v>286.3</v>
      </c>
      <c r="M274" s="12">
        <f t="shared" si="22"/>
        <v>3272</v>
      </c>
      <c r="N274" s="14">
        <f t="shared" si="23"/>
        <v>981.59999999999991</v>
      </c>
      <c r="O274" s="14" t="str">
        <f t="shared" si="24"/>
        <v>F</v>
      </c>
    </row>
    <row r="275" spans="1:15" ht="14.4" x14ac:dyDescent="0.3">
      <c r="A275" s="10">
        <v>45586</v>
      </c>
      <c r="B275" s="11" t="str">
        <f t="shared" si="20"/>
        <v>2024</v>
      </c>
      <c r="C275" s="11" t="str">
        <f t="shared" si="21"/>
        <v>Oct</v>
      </c>
      <c r="D275" s="12">
        <v>1378</v>
      </c>
      <c r="E275" s="12" t="s">
        <v>42</v>
      </c>
      <c r="F275" s="12" t="s">
        <v>16</v>
      </c>
      <c r="G275" s="12" t="s">
        <v>33</v>
      </c>
      <c r="H275" s="12" t="s">
        <v>31</v>
      </c>
      <c r="I275" s="12">
        <v>6</v>
      </c>
      <c r="J275" s="12">
        <v>450</v>
      </c>
      <c r="K275" s="13">
        <v>0.2</v>
      </c>
      <c r="L275" s="12">
        <v>315</v>
      </c>
      <c r="M275" s="12">
        <f t="shared" si="22"/>
        <v>2160</v>
      </c>
      <c r="N275" s="14">
        <f t="shared" si="23"/>
        <v>270</v>
      </c>
      <c r="O275" s="14" t="str">
        <f t="shared" si="24"/>
        <v>F</v>
      </c>
    </row>
    <row r="276" spans="1:15" ht="14.4" x14ac:dyDescent="0.3">
      <c r="A276" s="10">
        <v>45582</v>
      </c>
      <c r="B276" s="11" t="str">
        <f t="shared" si="20"/>
        <v>2024</v>
      </c>
      <c r="C276" s="11" t="str">
        <f t="shared" si="21"/>
        <v>Oct</v>
      </c>
      <c r="D276" s="12">
        <v>1157</v>
      </c>
      <c r="E276" s="12" t="s">
        <v>23</v>
      </c>
      <c r="F276" s="12" t="s">
        <v>38</v>
      </c>
      <c r="G276" s="12" t="s">
        <v>33</v>
      </c>
      <c r="H276" s="12" t="s">
        <v>26</v>
      </c>
      <c r="I276" s="12">
        <v>9</v>
      </c>
      <c r="J276" s="12">
        <v>54</v>
      </c>
      <c r="K276" s="13">
        <v>0.2</v>
      </c>
      <c r="L276" s="12">
        <v>37.799999999999997</v>
      </c>
      <c r="M276" s="12">
        <f t="shared" si="22"/>
        <v>388.8</v>
      </c>
      <c r="N276" s="14">
        <f t="shared" si="23"/>
        <v>48.600000000000023</v>
      </c>
      <c r="O276" s="14" t="str">
        <f t="shared" si="24"/>
        <v>F</v>
      </c>
    </row>
    <row r="277" spans="1:15" ht="14.4" x14ac:dyDescent="0.3">
      <c r="A277" s="10">
        <v>45581</v>
      </c>
      <c r="B277" s="11" t="str">
        <f t="shared" si="20"/>
        <v>2024</v>
      </c>
      <c r="C277" s="11" t="str">
        <f t="shared" si="21"/>
        <v>Oct</v>
      </c>
      <c r="D277" s="12">
        <v>1055</v>
      </c>
      <c r="E277" s="12" t="s">
        <v>27</v>
      </c>
      <c r="F277" s="12" t="s">
        <v>16</v>
      </c>
      <c r="G277" s="12" t="s">
        <v>28</v>
      </c>
      <c r="H277" s="12" t="s">
        <v>36</v>
      </c>
      <c r="I277" s="12">
        <v>4</v>
      </c>
      <c r="J277" s="12">
        <v>323</v>
      </c>
      <c r="K277" s="13">
        <v>0.2</v>
      </c>
      <c r="L277" s="12">
        <v>226.1</v>
      </c>
      <c r="M277" s="12">
        <f t="shared" si="22"/>
        <v>1033.6000000000001</v>
      </c>
      <c r="N277" s="14">
        <f t="shared" si="23"/>
        <v>129.20000000000016</v>
      </c>
      <c r="O277" s="14" t="str">
        <f t="shared" si="24"/>
        <v>F</v>
      </c>
    </row>
    <row r="278" spans="1:15" ht="14.4" x14ac:dyDescent="0.3">
      <c r="A278" s="10">
        <v>45579</v>
      </c>
      <c r="B278" s="11" t="str">
        <f t="shared" si="20"/>
        <v>2024</v>
      </c>
      <c r="C278" s="11" t="str">
        <f t="shared" si="21"/>
        <v>Oct</v>
      </c>
      <c r="D278" s="12">
        <v>1330</v>
      </c>
      <c r="E278" s="12" t="s">
        <v>27</v>
      </c>
      <c r="F278" s="12" t="s">
        <v>24</v>
      </c>
      <c r="G278" s="12" t="s">
        <v>33</v>
      </c>
      <c r="H278" s="12" t="s">
        <v>41</v>
      </c>
      <c r="I278" s="12">
        <v>7</v>
      </c>
      <c r="J278" s="12">
        <v>209</v>
      </c>
      <c r="K278" s="13">
        <v>0.15</v>
      </c>
      <c r="L278" s="12">
        <v>146.30000000000001</v>
      </c>
      <c r="M278" s="12">
        <f t="shared" si="22"/>
        <v>1243.55</v>
      </c>
      <c r="N278" s="14">
        <f t="shared" si="23"/>
        <v>219.44999999999982</v>
      </c>
      <c r="O278" s="14" t="str">
        <f t="shared" si="24"/>
        <v>F</v>
      </c>
    </row>
    <row r="279" spans="1:15" ht="14.4" x14ac:dyDescent="0.3">
      <c r="A279" s="10">
        <v>45578</v>
      </c>
      <c r="B279" s="11" t="str">
        <f t="shared" si="20"/>
        <v>2024</v>
      </c>
      <c r="C279" s="11" t="str">
        <f t="shared" si="21"/>
        <v>Oct</v>
      </c>
      <c r="D279" s="12">
        <v>1112</v>
      </c>
      <c r="E279" s="12" t="s">
        <v>30</v>
      </c>
      <c r="F279" s="12" t="s">
        <v>16</v>
      </c>
      <c r="G279" s="12" t="s">
        <v>21</v>
      </c>
      <c r="H279" s="12" t="s">
        <v>31</v>
      </c>
      <c r="I279" s="12">
        <v>6</v>
      </c>
      <c r="J279" s="12">
        <v>90</v>
      </c>
      <c r="K279" s="13">
        <v>0</v>
      </c>
      <c r="L279" s="12">
        <v>62.999999999999993</v>
      </c>
      <c r="M279" s="12">
        <f t="shared" si="22"/>
        <v>540</v>
      </c>
      <c r="N279" s="14">
        <f t="shared" si="23"/>
        <v>162.00000000000006</v>
      </c>
      <c r="O279" s="14" t="str">
        <f t="shared" si="24"/>
        <v>F</v>
      </c>
    </row>
    <row r="280" spans="1:15" ht="14.4" x14ac:dyDescent="0.3">
      <c r="A280" s="10">
        <v>45578</v>
      </c>
      <c r="B280" s="11" t="str">
        <f t="shared" si="20"/>
        <v>2024</v>
      </c>
      <c r="C280" s="11" t="str">
        <f t="shared" si="21"/>
        <v>Oct</v>
      </c>
      <c r="D280" s="12">
        <v>1218</v>
      </c>
      <c r="E280" s="12" t="s">
        <v>27</v>
      </c>
      <c r="F280" s="12" t="s">
        <v>16</v>
      </c>
      <c r="G280" s="12" t="s">
        <v>21</v>
      </c>
      <c r="H280" s="12" t="s">
        <v>29</v>
      </c>
      <c r="I280" s="12">
        <v>10</v>
      </c>
      <c r="J280" s="12">
        <v>308</v>
      </c>
      <c r="K280" s="13">
        <v>0.15</v>
      </c>
      <c r="L280" s="12">
        <v>215.6</v>
      </c>
      <c r="M280" s="12">
        <f t="shared" si="22"/>
        <v>2618</v>
      </c>
      <c r="N280" s="14">
        <f t="shared" si="23"/>
        <v>462</v>
      </c>
      <c r="O280" s="14" t="str">
        <f t="shared" si="24"/>
        <v>F</v>
      </c>
    </row>
    <row r="281" spans="1:15" ht="14.4" x14ac:dyDescent="0.3">
      <c r="A281" s="10">
        <v>45577</v>
      </c>
      <c r="B281" s="11" t="str">
        <f t="shared" si="20"/>
        <v>2024</v>
      </c>
      <c r="C281" s="11" t="str">
        <f t="shared" si="21"/>
        <v>Oct</v>
      </c>
      <c r="D281" s="12">
        <v>1005</v>
      </c>
      <c r="E281" s="12" t="s">
        <v>32</v>
      </c>
      <c r="F281" s="12" t="s">
        <v>16</v>
      </c>
      <c r="G281" s="12" t="s">
        <v>28</v>
      </c>
      <c r="H281" s="12" t="s">
        <v>31</v>
      </c>
      <c r="I281" s="12">
        <v>6</v>
      </c>
      <c r="J281" s="12">
        <v>156</v>
      </c>
      <c r="K281" s="13">
        <v>0.1</v>
      </c>
      <c r="L281" s="12">
        <v>109.2</v>
      </c>
      <c r="M281" s="12">
        <f t="shared" si="22"/>
        <v>842.4</v>
      </c>
      <c r="N281" s="14">
        <f t="shared" si="23"/>
        <v>187.19999999999993</v>
      </c>
      <c r="O281" s="14" t="str">
        <f t="shared" si="24"/>
        <v>F</v>
      </c>
    </row>
    <row r="282" spans="1:15" ht="14.4" x14ac:dyDescent="0.3">
      <c r="A282" s="10">
        <v>45577</v>
      </c>
      <c r="B282" s="11" t="str">
        <f t="shared" si="20"/>
        <v>2024</v>
      </c>
      <c r="C282" s="11" t="str">
        <f t="shared" si="21"/>
        <v>Oct</v>
      </c>
      <c r="D282" s="12">
        <v>1006</v>
      </c>
      <c r="E282" s="12" t="s">
        <v>35</v>
      </c>
      <c r="F282" s="12" t="s">
        <v>16</v>
      </c>
      <c r="G282" s="12" t="s">
        <v>34</v>
      </c>
      <c r="H282" s="12" t="s">
        <v>41</v>
      </c>
      <c r="I282" s="12">
        <v>2</v>
      </c>
      <c r="J282" s="12">
        <v>121</v>
      </c>
      <c r="K282" s="13">
        <v>0.15</v>
      </c>
      <c r="L282" s="12">
        <v>84.699999999999989</v>
      </c>
      <c r="M282" s="12">
        <f t="shared" si="22"/>
        <v>205.7</v>
      </c>
      <c r="N282" s="14">
        <f t="shared" si="23"/>
        <v>36.300000000000011</v>
      </c>
      <c r="O282" s="14" t="str">
        <f t="shared" si="24"/>
        <v>F</v>
      </c>
    </row>
    <row r="283" spans="1:15" ht="14.4" x14ac:dyDescent="0.3">
      <c r="A283" s="10">
        <v>45576</v>
      </c>
      <c r="B283" s="11" t="str">
        <f t="shared" si="20"/>
        <v>2024</v>
      </c>
      <c r="C283" s="11" t="str">
        <f t="shared" si="21"/>
        <v>Oct</v>
      </c>
      <c r="D283" s="12">
        <v>1087</v>
      </c>
      <c r="E283" s="12" t="s">
        <v>19</v>
      </c>
      <c r="F283" s="12" t="s">
        <v>38</v>
      </c>
      <c r="G283" s="12" t="s">
        <v>28</v>
      </c>
      <c r="H283" s="12" t="s">
        <v>18</v>
      </c>
      <c r="I283" s="12">
        <v>5</v>
      </c>
      <c r="J283" s="12">
        <v>267</v>
      </c>
      <c r="K283" s="13">
        <v>0.3</v>
      </c>
      <c r="L283" s="12">
        <v>186.9</v>
      </c>
      <c r="M283" s="12">
        <f t="shared" si="22"/>
        <v>934.49999999999989</v>
      </c>
      <c r="N283" s="14">
        <f t="shared" si="23"/>
        <v>0</v>
      </c>
      <c r="O283" s="14" t="str">
        <f t="shared" si="24"/>
        <v>F</v>
      </c>
    </row>
    <row r="284" spans="1:15" ht="14.4" x14ac:dyDescent="0.3">
      <c r="A284" s="10">
        <v>45576</v>
      </c>
      <c r="B284" s="11" t="str">
        <f t="shared" si="20"/>
        <v>2024</v>
      </c>
      <c r="C284" s="11" t="str">
        <f t="shared" si="21"/>
        <v>Oct</v>
      </c>
      <c r="D284" s="12">
        <v>1122</v>
      </c>
      <c r="E284" s="12" t="s">
        <v>27</v>
      </c>
      <c r="F284" s="12" t="s">
        <v>20</v>
      </c>
      <c r="G284" s="12" t="s">
        <v>17</v>
      </c>
      <c r="H284" s="12" t="s">
        <v>18</v>
      </c>
      <c r="I284" s="12">
        <v>5</v>
      </c>
      <c r="J284" s="12">
        <v>185</v>
      </c>
      <c r="K284" s="13">
        <v>0.2</v>
      </c>
      <c r="L284" s="12">
        <v>129.5</v>
      </c>
      <c r="M284" s="12">
        <f t="shared" si="22"/>
        <v>740</v>
      </c>
      <c r="N284" s="14">
        <f t="shared" si="23"/>
        <v>92.5</v>
      </c>
      <c r="O284" s="14" t="str">
        <f t="shared" si="24"/>
        <v>F</v>
      </c>
    </row>
    <row r="285" spans="1:15" ht="14.4" x14ac:dyDescent="0.3">
      <c r="A285" s="10">
        <v>45575</v>
      </c>
      <c r="B285" s="11" t="str">
        <f t="shared" si="20"/>
        <v>2024</v>
      </c>
      <c r="C285" s="11" t="str">
        <f t="shared" si="21"/>
        <v>Oct</v>
      </c>
      <c r="D285" s="12">
        <v>1156</v>
      </c>
      <c r="E285" s="12" t="s">
        <v>42</v>
      </c>
      <c r="F285" s="12" t="s">
        <v>20</v>
      </c>
      <c r="G285" s="12" t="s">
        <v>25</v>
      </c>
      <c r="H285" s="12" t="s">
        <v>22</v>
      </c>
      <c r="I285" s="12">
        <v>1</v>
      </c>
      <c r="J285" s="12">
        <v>306</v>
      </c>
      <c r="K285" s="13">
        <v>0.05</v>
      </c>
      <c r="L285" s="12">
        <v>214.2</v>
      </c>
      <c r="M285" s="12">
        <f t="shared" si="22"/>
        <v>290.7</v>
      </c>
      <c r="N285" s="14">
        <f t="shared" si="23"/>
        <v>76.5</v>
      </c>
      <c r="O285" s="14" t="str">
        <f t="shared" si="24"/>
        <v>F</v>
      </c>
    </row>
    <row r="286" spans="1:15" ht="14.4" x14ac:dyDescent="0.3">
      <c r="A286" s="10">
        <v>45574</v>
      </c>
      <c r="B286" s="11" t="str">
        <f t="shared" si="20"/>
        <v>2024</v>
      </c>
      <c r="C286" s="11" t="str">
        <f t="shared" si="21"/>
        <v>Oct</v>
      </c>
      <c r="D286" s="12">
        <v>1242</v>
      </c>
      <c r="E286" s="12" t="s">
        <v>27</v>
      </c>
      <c r="F286" s="12" t="s">
        <v>24</v>
      </c>
      <c r="G286" s="12" t="s">
        <v>34</v>
      </c>
      <c r="H286" s="12" t="s">
        <v>41</v>
      </c>
      <c r="I286" s="12">
        <v>5</v>
      </c>
      <c r="J286" s="12">
        <v>435</v>
      </c>
      <c r="K286" s="13">
        <v>0.05</v>
      </c>
      <c r="L286" s="12">
        <v>304.5</v>
      </c>
      <c r="M286" s="12">
        <f t="shared" si="22"/>
        <v>2066.25</v>
      </c>
      <c r="N286" s="14">
        <f t="shared" si="23"/>
        <v>543.75</v>
      </c>
      <c r="O286" s="14" t="str">
        <f t="shared" si="24"/>
        <v>F</v>
      </c>
    </row>
    <row r="287" spans="1:15" ht="14.4" x14ac:dyDescent="0.3">
      <c r="A287" s="10">
        <v>45574</v>
      </c>
      <c r="B287" s="11" t="str">
        <f t="shared" si="20"/>
        <v>2024</v>
      </c>
      <c r="C287" s="11" t="str">
        <f t="shared" si="21"/>
        <v>Oct</v>
      </c>
      <c r="D287" s="12">
        <v>1413</v>
      </c>
      <c r="E287" s="12" t="s">
        <v>19</v>
      </c>
      <c r="F287" s="12" t="s">
        <v>20</v>
      </c>
      <c r="G287" s="12" t="s">
        <v>17</v>
      </c>
      <c r="H287" s="12" t="s">
        <v>31</v>
      </c>
      <c r="I287" s="12">
        <v>3</v>
      </c>
      <c r="J287" s="12">
        <v>207</v>
      </c>
      <c r="K287" s="13">
        <v>0</v>
      </c>
      <c r="L287" s="12">
        <v>144.9</v>
      </c>
      <c r="M287" s="12">
        <f t="shared" si="22"/>
        <v>621</v>
      </c>
      <c r="N287" s="14">
        <f t="shared" si="23"/>
        <v>186.29999999999995</v>
      </c>
      <c r="O287" s="14" t="str">
        <f t="shared" si="24"/>
        <v>F</v>
      </c>
    </row>
    <row r="288" spans="1:15" ht="14.4" x14ac:dyDescent="0.3">
      <c r="A288" s="10">
        <v>45572</v>
      </c>
      <c r="B288" s="11" t="str">
        <f t="shared" si="20"/>
        <v>2024</v>
      </c>
      <c r="C288" s="11" t="str">
        <f t="shared" si="21"/>
        <v>Oct</v>
      </c>
      <c r="D288" s="12">
        <v>1154</v>
      </c>
      <c r="E288" s="12" t="s">
        <v>42</v>
      </c>
      <c r="F288" s="12" t="s">
        <v>38</v>
      </c>
      <c r="G288" s="12" t="s">
        <v>21</v>
      </c>
      <c r="H288" s="12" t="s">
        <v>18</v>
      </c>
      <c r="I288" s="12">
        <v>8</v>
      </c>
      <c r="J288" s="12">
        <v>480</v>
      </c>
      <c r="K288" s="13">
        <v>0.3</v>
      </c>
      <c r="L288" s="12">
        <v>336</v>
      </c>
      <c r="M288" s="12">
        <f t="shared" si="22"/>
        <v>2688</v>
      </c>
      <c r="N288" s="14">
        <f t="shared" si="23"/>
        <v>0</v>
      </c>
      <c r="O288" s="14" t="str">
        <f t="shared" si="24"/>
        <v>F</v>
      </c>
    </row>
    <row r="289" spans="1:15" ht="14.4" x14ac:dyDescent="0.3">
      <c r="A289" s="10">
        <v>45572</v>
      </c>
      <c r="B289" s="11" t="str">
        <f t="shared" si="20"/>
        <v>2024</v>
      </c>
      <c r="C289" s="11" t="str">
        <f t="shared" si="21"/>
        <v>Oct</v>
      </c>
      <c r="D289" s="12">
        <v>1285</v>
      </c>
      <c r="E289" s="12" t="s">
        <v>37</v>
      </c>
      <c r="F289" s="12" t="s">
        <v>20</v>
      </c>
      <c r="G289" s="12" t="s">
        <v>21</v>
      </c>
      <c r="H289" s="12" t="s">
        <v>31</v>
      </c>
      <c r="I289" s="12">
        <v>8</v>
      </c>
      <c r="J289" s="12">
        <v>146</v>
      </c>
      <c r="K289" s="13">
        <v>0.1</v>
      </c>
      <c r="L289" s="12">
        <v>102.2</v>
      </c>
      <c r="M289" s="12">
        <f t="shared" si="22"/>
        <v>1051.2</v>
      </c>
      <c r="N289" s="14">
        <f t="shared" si="23"/>
        <v>233.60000000000002</v>
      </c>
      <c r="O289" s="14" t="str">
        <f t="shared" si="24"/>
        <v>F</v>
      </c>
    </row>
    <row r="290" spans="1:15" ht="14.4" x14ac:dyDescent="0.3">
      <c r="A290" s="10">
        <v>45570</v>
      </c>
      <c r="B290" s="11" t="str">
        <f t="shared" si="20"/>
        <v>2024</v>
      </c>
      <c r="C290" s="11" t="str">
        <f t="shared" si="21"/>
        <v>Oct</v>
      </c>
      <c r="D290" s="12">
        <v>1351</v>
      </c>
      <c r="E290" s="12" t="s">
        <v>19</v>
      </c>
      <c r="F290" s="12" t="s">
        <v>20</v>
      </c>
      <c r="G290" s="12" t="s">
        <v>33</v>
      </c>
      <c r="H290" s="12" t="s">
        <v>41</v>
      </c>
      <c r="I290" s="12">
        <v>10</v>
      </c>
      <c r="J290" s="12">
        <v>303</v>
      </c>
      <c r="K290" s="13">
        <v>0.05</v>
      </c>
      <c r="L290" s="12">
        <v>212.1</v>
      </c>
      <c r="M290" s="12">
        <f t="shared" si="22"/>
        <v>2878.5</v>
      </c>
      <c r="N290" s="14">
        <f t="shared" si="23"/>
        <v>757.5</v>
      </c>
      <c r="O290" s="14" t="str">
        <f t="shared" si="24"/>
        <v>F</v>
      </c>
    </row>
    <row r="291" spans="1:15" ht="14.4" x14ac:dyDescent="0.3">
      <c r="A291" s="10">
        <v>45569</v>
      </c>
      <c r="B291" s="11" t="str">
        <f t="shared" si="20"/>
        <v>2024</v>
      </c>
      <c r="C291" s="11" t="str">
        <f t="shared" si="21"/>
        <v>Oct</v>
      </c>
      <c r="D291" s="12">
        <v>1014</v>
      </c>
      <c r="E291" s="12" t="s">
        <v>19</v>
      </c>
      <c r="F291" s="12" t="s">
        <v>16</v>
      </c>
      <c r="G291" s="12" t="s">
        <v>28</v>
      </c>
      <c r="H291" s="12" t="s">
        <v>36</v>
      </c>
      <c r="I291" s="12">
        <v>1</v>
      </c>
      <c r="J291" s="12">
        <v>422</v>
      </c>
      <c r="K291" s="13">
        <v>0.3</v>
      </c>
      <c r="L291" s="12">
        <v>295.39999999999998</v>
      </c>
      <c r="M291" s="12">
        <f t="shared" si="22"/>
        <v>295.39999999999998</v>
      </c>
      <c r="N291" s="14">
        <f t="shared" si="23"/>
        <v>0</v>
      </c>
      <c r="O291" s="14" t="str">
        <f t="shared" si="24"/>
        <v>F</v>
      </c>
    </row>
    <row r="292" spans="1:15" ht="14.4" x14ac:dyDescent="0.3">
      <c r="A292" s="10">
        <v>45566</v>
      </c>
      <c r="B292" s="11" t="str">
        <f t="shared" si="20"/>
        <v>2024</v>
      </c>
      <c r="C292" s="11" t="str">
        <f t="shared" si="21"/>
        <v>Oct</v>
      </c>
      <c r="D292" s="12">
        <v>1219</v>
      </c>
      <c r="E292" s="12" t="s">
        <v>32</v>
      </c>
      <c r="F292" s="12" t="s">
        <v>16</v>
      </c>
      <c r="G292" s="12" t="s">
        <v>34</v>
      </c>
      <c r="H292" s="12" t="s">
        <v>22</v>
      </c>
      <c r="I292" s="12">
        <v>6</v>
      </c>
      <c r="J292" s="12">
        <v>408</v>
      </c>
      <c r="K292" s="13">
        <v>0</v>
      </c>
      <c r="L292" s="12">
        <v>285.60000000000002</v>
      </c>
      <c r="M292" s="12">
        <f t="shared" si="22"/>
        <v>2448</v>
      </c>
      <c r="N292" s="14">
        <f t="shared" si="23"/>
        <v>734.39999999999986</v>
      </c>
      <c r="O292" s="14" t="str">
        <f t="shared" si="24"/>
        <v>F</v>
      </c>
    </row>
    <row r="293" spans="1:15" ht="14.4" x14ac:dyDescent="0.3">
      <c r="A293" s="10">
        <v>45564</v>
      </c>
      <c r="B293" s="11" t="str">
        <f t="shared" si="20"/>
        <v>2024</v>
      </c>
      <c r="C293" s="11" t="str">
        <f t="shared" si="21"/>
        <v>Sep</v>
      </c>
      <c r="D293" s="12">
        <v>1043</v>
      </c>
      <c r="E293" s="12" t="s">
        <v>30</v>
      </c>
      <c r="F293" s="12" t="s">
        <v>20</v>
      </c>
      <c r="G293" s="12" t="s">
        <v>21</v>
      </c>
      <c r="H293" s="12" t="s">
        <v>26</v>
      </c>
      <c r="I293" s="12">
        <v>3</v>
      </c>
      <c r="J293" s="12">
        <v>495</v>
      </c>
      <c r="K293" s="13">
        <v>0</v>
      </c>
      <c r="L293" s="12">
        <v>346.5</v>
      </c>
      <c r="M293" s="12">
        <f t="shared" si="22"/>
        <v>1485</v>
      </c>
      <c r="N293" s="14">
        <f t="shared" si="23"/>
        <v>445.5</v>
      </c>
      <c r="O293" s="14" t="str">
        <f t="shared" si="24"/>
        <v>F</v>
      </c>
    </row>
    <row r="294" spans="1:15" ht="14.4" x14ac:dyDescent="0.3">
      <c r="A294" s="10">
        <v>45563</v>
      </c>
      <c r="B294" s="11" t="str">
        <f t="shared" si="20"/>
        <v>2024</v>
      </c>
      <c r="C294" s="11" t="str">
        <f t="shared" si="21"/>
        <v>Sep</v>
      </c>
      <c r="D294" s="12">
        <v>1056</v>
      </c>
      <c r="E294" s="12" t="s">
        <v>19</v>
      </c>
      <c r="F294" s="12" t="s">
        <v>38</v>
      </c>
      <c r="G294" s="12" t="s">
        <v>34</v>
      </c>
      <c r="H294" s="12" t="s">
        <v>29</v>
      </c>
      <c r="I294" s="12">
        <v>2</v>
      </c>
      <c r="J294" s="12">
        <v>437</v>
      </c>
      <c r="K294" s="13">
        <v>0.2</v>
      </c>
      <c r="L294" s="12">
        <v>305.89999999999998</v>
      </c>
      <c r="M294" s="12">
        <f t="shared" si="22"/>
        <v>699.2</v>
      </c>
      <c r="N294" s="14">
        <f t="shared" si="23"/>
        <v>87.400000000000091</v>
      </c>
      <c r="O294" s="14" t="str">
        <f t="shared" si="24"/>
        <v>F</v>
      </c>
    </row>
    <row r="295" spans="1:15" ht="14.4" x14ac:dyDescent="0.3">
      <c r="A295" s="10">
        <v>45561</v>
      </c>
      <c r="B295" s="11" t="str">
        <f t="shared" si="20"/>
        <v>2024</v>
      </c>
      <c r="C295" s="11" t="str">
        <f t="shared" si="21"/>
        <v>Sep</v>
      </c>
      <c r="D295" s="12">
        <v>1058</v>
      </c>
      <c r="E295" s="12" t="s">
        <v>35</v>
      </c>
      <c r="F295" s="12" t="s">
        <v>38</v>
      </c>
      <c r="G295" s="12" t="s">
        <v>25</v>
      </c>
      <c r="H295" s="12" t="s">
        <v>31</v>
      </c>
      <c r="I295" s="12">
        <v>9</v>
      </c>
      <c r="J295" s="12">
        <v>365</v>
      </c>
      <c r="K295" s="13">
        <v>0.2</v>
      </c>
      <c r="L295" s="12">
        <v>255.5</v>
      </c>
      <c r="M295" s="12">
        <f t="shared" si="22"/>
        <v>2628</v>
      </c>
      <c r="N295" s="14">
        <f t="shared" si="23"/>
        <v>328.5</v>
      </c>
      <c r="O295" s="14" t="str">
        <f t="shared" si="24"/>
        <v>F</v>
      </c>
    </row>
    <row r="296" spans="1:15" ht="14.4" x14ac:dyDescent="0.3">
      <c r="A296" s="10">
        <v>45560</v>
      </c>
      <c r="B296" s="11" t="str">
        <f t="shared" si="20"/>
        <v>2024</v>
      </c>
      <c r="C296" s="11" t="str">
        <f t="shared" si="21"/>
        <v>Sep</v>
      </c>
      <c r="D296" s="12">
        <v>1364</v>
      </c>
      <c r="E296" s="12" t="s">
        <v>42</v>
      </c>
      <c r="F296" s="12" t="s">
        <v>16</v>
      </c>
      <c r="G296" s="12" t="s">
        <v>21</v>
      </c>
      <c r="H296" s="12" t="s">
        <v>22</v>
      </c>
      <c r="I296" s="12">
        <v>6</v>
      </c>
      <c r="J296" s="12">
        <v>257</v>
      </c>
      <c r="K296" s="13">
        <v>0.15</v>
      </c>
      <c r="L296" s="12">
        <v>179.9</v>
      </c>
      <c r="M296" s="12">
        <f t="shared" si="22"/>
        <v>1310.7</v>
      </c>
      <c r="N296" s="14">
        <f t="shared" si="23"/>
        <v>231.29999999999995</v>
      </c>
      <c r="O296" s="14" t="str">
        <f t="shared" si="24"/>
        <v>F</v>
      </c>
    </row>
    <row r="297" spans="1:15" ht="14.4" x14ac:dyDescent="0.3">
      <c r="A297" s="10">
        <v>45556</v>
      </c>
      <c r="B297" s="11" t="str">
        <f t="shared" si="20"/>
        <v>2024</v>
      </c>
      <c r="C297" s="11" t="str">
        <f t="shared" si="21"/>
        <v>Sep</v>
      </c>
      <c r="D297" s="12">
        <v>1183</v>
      </c>
      <c r="E297" s="12" t="s">
        <v>30</v>
      </c>
      <c r="F297" s="12" t="s">
        <v>20</v>
      </c>
      <c r="G297" s="12" t="s">
        <v>28</v>
      </c>
      <c r="H297" s="12" t="s">
        <v>36</v>
      </c>
      <c r="I297" s="12">
        <v>2</v>
      </c>
      <c r="J297" s="12">
        <v>78</v>
      </c>
      <c r="K297" s="13">
        <v>0.3</v>
      </c>
      <c r="L297" s="12">
        <v>54.599999999999987</v>
      </c>
      <c r="M297" s="12">
        <f t="shared" si="22"/>
        <v>109.19999999999999</v>
      </c>
      <c r="N297" s="14">
        <f t="shared" si="23"/>
        <v>0</v>
      </c>
      <c r="O297" s="14" t="str">
        <f t="shared" si="24"/>
        <v>F</v>
      </c>
    </row>
    <row r="298" spans="1:15" ht="14.4" x14ac:dyDescent="0.3">
      <c r="A298" s="10">
        <v>45555</v>
      </c>
      <c r="B298" s="11" t="str">
        <f t="shared" si="20"/>
        <v>2024</v>
      </c>
      <c r="C298" s="11" t="str">
        <f t="shared" si="21"/>
        <v>Sep</v>
      </c>
      <c r="D298" s="12">
        <v>1104</v>
      </c>
      <c r="E298" s="12" t="s">
        <v>39</v>
      </c>
      <c r="F298" s="12" t="s">
        <v>16</v>
      </c>
      <c r="G298" s="12" t="s">
        <v>25</v>
      </c>
      <c r="H298" s="12" t="s">
        <v>41</v>
      </c>
      <c r="I298" s="12">
        <v>3</v>
      </c>
      <c r="J298" s="12">
        <v>416</v>
      </c>
      <c r="K298" s="13">
        <v>0.1</v>
      </c>
      <c r="L298" s="12">
        <v>291.2</v>
      </c>
      <c r="M298" s="12">
        <f t="shared" si="22"/>
        <v>1123.2</v>
      </c>
      <c r="N298" s="14">
        <f t="shared" si="23"/>
        <v>249.60000000000014</v>
      </c>
      <c r="O298" s="14" t="str">
        <f t="shared" si="24"/>
        <v>F</v>
      </c>
    </row>
    <row r="299" spans="1:15" ht="14.4" x14ac:dyDescent="0.3">
      <c r="A299" s="10">
        <v>45551</v>
      </c>
      <c r="B299" s="11" t="str">
        <f t="shared" si="20"/>
        <v>2024</v>
      </c>
      <c r="C299" s="11" t="str">
        <f t="shared" si="21"/>
        <v>Sep</v>
      </c>
      <c r="D299" s="12">
        <v>1147</v>
      </c>
      <c r="E299" s="12" t="s">
        <v>39</v>
      </c>
      <c r="F299" s="12" t="s">
        <v>24</v>
      </c>
      <c r="G299" s="12" t="s">
        <v>21</v>
      </c>
      <c r="H299" s="12" t="s">
        <v>29</v>
      </c>
      <c r="I299" s="12">
        <v>9</v>
      </c>
      <c r="J299" s="12">
        <v>221</v>
      </c>
      <c r="K299" s="13">
        <v>0.05</v>
      </c>
      <c r="L299" s="12">
        <v>154.69999999999999</v>
      </c>
      <c r="M299" s="12">
        <f t="shared" si="22"/>
        <v>1889.55</v>
      </c>
      <c r="N299" s="14">
        <f t="shared" si="23"/>
        <v>497.25</v>
      </c>
      <c r="O299" s="14" t="str">
        <f t="shared" si="24"/>
        <v>F</v>
      </c>
    </row>
    <row r="300" spans="1:15" ht="14.4" x14ac:dyDescent="0.3">
      <c r="A300" s="10">
        <v>45551</v>
      </c>
      <c r="B300" s="11" t="str">
        <f t="shared" si="20"/>
        <v>2024</v>
      </c>
      <c r="C300" s="11" t="str">
        <f t="shared" si="21"/>
        <v>Sep</v>
      </c>
      <c r="D300" s="12">
        <v>1251</v>
      </c>
      <c r="E300" s="12" t="s">
        <v>27</v>
      </c>
      <c r="F300" s="12" t="s">
        <v>16</v>
      </c>
      <c r="G300" s="12" t="s">
        <v>34</v>
      </c>
      <c r="H300" s="12" t="s">
        <v>41</v>
      </c>
      <c r="I300" s="12">
        <v>10</v>
      </c>
      <c r="J300" s="12">
        <v>51</v>
      </c>
      <c r="K300" s="13">
        <v>0.25</v>
      </c>
      <c r="L300" s="12">
        <v>35.700000000000003</v>
      </c>
      <c r="M300" s="12">
        <f t="shared" si="22"/>
        <v>382.5</v>
      </c>
      <c r="N300" s="14">
        <f t="shared" si="23"/>
        <v>25.5</v>
      </c>
      <c r="O300" s="14" t="str">
        <f t="shared" si="24"/>
        <v>F</v>
      </c>
    </row>
    <row r="301" spans="1:15" ht="14.4" x14ac:dyDescent="0.3">
      <c r="A301" s="10">
        <v>45549</v>
      </c>
      <c r="B301" s="11" t="str">
        <f t="shared" si="20"/>
        <v>2024</v>
      </c>
      <c r="C301" s="11" t="str">
        <f t="shared" si="21"/>
        <v>Sep</v>
      </c>
      <c r="D301" s="12">
        <v>1311</v>
      </c>
      <c r="E301" s="12" t="s">
        <v>15</v>
      </c>
      <c r="F301" s="12" t="s">
        <v>20</v>
      </c>
      <c r="G301" s="12" t="s">
        <v>33</v>
      </c>
      <c r="H301" s="12" t="s">
        <v>22</v>
      </c>
      <c r="I301" s="12">
        <v>10</v>
      </c>
      <c r="J301" s="12">
        <v>490</v>
      </c>
      <c r="K301" s="13">
        <v>0.15</v>
      </c>
      <c r="L301" s="12">
        <v>343</v>
      </c>
      <c r="M301" s="12">
        <f t="shared" si="22"/>
        <v>4165</v>
      </c>
      <c r="N301" s="14">
        <f t="shared" si="23"/>
        <v>735</v>
      </c>
      <c r="O301" s="14" t="str">
        <f t="shared" si="24"/>
        <v>F</v>
      </c>
    </row>
    <row r="302" spans="1:15" ht="14.4" x14ac:dyDescent="0.3">
      <c r="A302" s="10">
        <v>45548</v>
      </c>
      <c r="B302" s="11" t="str">
        <f t="shared" si="20"/>
        <v>2024</v>
      </c>
      <c r="C302" s="11" t="str">
        <f t="shared" si="21"/>
        <v>Sep</v>
      </c>
      <c r="D302" s="12">
        <v>1297</v>
      </c>
      <c r="E302" s="12" t="s">
        <v>37</v>
      </c>
      <c r="F302" s="12" t="s">
        <v>24</v>
      </c>
      <c r="G302" s="12" t="s">
        <v>28</v>
      </c>
      <c r="H302" s="12" t="s">
        <v>40</v>
      </c>
      <c r="I302" s="12">
        <v>8</v>
      </c>
      <c r="J302" s="12">
        <v>395</v>
      </c>
      <c r="K302" s="13">
        <v>0.05</v>
      </c>
      <c r="L302" s="12">
        <v>276.5</v>
      </c>
      <c r="M302" s="12">
        <f t="shared" si="22"/>
        <v>3002</v>
      </c>
      <c r="N302" s="14">
        <f t="shared" si="23"/>
        <v>790</v>
      </c>
      <c r="O302" s="14" t="str">
        <f t="shared" si="24"/>
        <v>F</v>
      </c>
    </row>
    <row r="303" spans="1:15" ht="14.4" x14ac:dyDescent="0.3">
      <c r="A303" s="10">
        <v>45548</v>
      </c>
      <c r="B303" s="11" t="str">
        <f t="shared" si="20"/>
        <v>2024</v>
      </c>
      <c r="C303" s="11" t="str">
        <f t="shared" si="21"/>
        <v>Sep</v>
      </c>
      <c r="D303" s="12">
        <v>1487</v>
      </c>
      <c r="E303" s="12" t="s">
        <v>35</v>
      </c>
      <c r="F303" s="12" t="s">
        <v>20</v>
      </c>
      <c r="G303" s="12" t="s">
        <v>33</v>
      </c>
      <c r="H303" s="12" t="s">
        <v>31</v>
      </c>
      <c r="I303" s="12">
        <v>8</v>
      </c>
      <c r="J303" s="12">
        <v>496</v>
      </c>
      <c r="K303" s="13">
        <v>0.05</v>
      </c>
      <c r="L303" s="12">
        <v>347.2</v>
      </c>
      <c r="M303" s="12">
        <f t="shared" si="22"/>
        <v>3769.6</v>
      </c>
      <c r="N303" s="14">
        <f t="shared" si="23"/>
        <v>992</v>
      </c>
      <c r="O303" s="14" t="str">
        <f t="shared" si="24"/>
        <v>F</v>
      </c>
    </row>
    <row r="304" spans="1:15" ht="14.4" x14ac:dyDescent="0.3">
      <c r="A304" s="10">
        <v>45547</v>
      </c>
      <c r="B304" s="11" t="str">
        <f t="shared" si="20"/>
        <v>2024</v>
      </c>
      <c r="C304" s="11" t="str">
        <f t="shared" si="21"/>
        <v>Sep</v>
      </c>
      <c r="D304" s="12">
        <v>1129</v>
      </c>
      <c r="E304" s="12" t="s">
        <v>37</v>
      </c>
      <c r="F304" s="12" t="s">
        <v>38</v>
      </c>
      <c r="G304" s="12" t="s">
        <v>25</v>
      </c>
      <c r="H304" s="12" t="s">
        <v>18</v>
      </c>
      <c r="I304" s="12">
        <v>9</v>
      </c>
      <c r="J304" s="12">
        <v>338</v>
      </c>
      <c r="K304" s="13">
        <v>0</v>
      </c>
      <c r="L304" s="12">
        <v>236.6</v>
      </c>
      <c r="M304" s="12">
        <f t="shared" si="22"/>
        <v>3042</v>
      </c>
      <c r="N304" s="14">
        <f t="shared" si="23"/>
        <v>912.59999999999991</v>
      </c>
      <c r="O304" s="14" t="str">
        <f t="shared" si="24"/>
        <v>F</v>
      </c>
    </row>
    <row r="305" spans="1:15" ht="14.4" x14ac:dyDescent="0.3">
      <c r="A305" s="10">
        <v>45546</v>
      </c>
      <c r="B305" s="11" t="str">
        <f t="shared" si="20"/>
        <v>2024</v>
      </c>
      <c r="C305" s="11" t="str">
        <f t="shared" si="21"/>
        <v>Sep</v>
      </c>
      <c r="D305" s="12">
        <v>1031</v>
      </c>
      <c r="E305" s="12" t="s">
        <v>15</v>
      </c>
      <c r="F305" s="12" t="s">
        <v>24</v>
      </c>
      <c r="G305" s="12" t="s">
        <v>34</v>
      </c>
      <c r="H305" s="12" t="s">
        <v>29</v>
      </c>
      <c r="I305" s="12">
        <v>10</v>
      </c>
      <c r="J305" s="12">
        <v>71</v>
      </c>
      <c r="K305" s="13">
        <v>0.3</v>
      </c>
      <c r="L305" s="12">
        <v>49.7</v>
      </c>
      <c r="M305" s="12">
        <f t="shared" si="22"/>
        <v>496.99999999999994</v>
      </c>
      <c r="N305" s="14">
        <f t="shared" si="23"/>
        <v>0</v>
      </c>
      <c r="O305" s="14" t="str">
        <f t="shared" si="24"/>
        <v>F</v>
      </c>
    </row>
    <row r="306" spans="1:15" ht="14.4" x14ac:dyDescent="0.3">
      <c r="A306" s="10">
        <v>45544</v>
      </c>
      <c r="B306" s="11" t="str">
        <f t="shared" si="20"/>
        <v>2024</v>
      </c>
      <c r="C306" s="11" t="str">
        <f t="shared" si="21"/>
        <v>Sep</v>
      </c>
      <c r="D306" s="12">
        <v>1406</v>
      </c>
      <c r="E306" s="12" t="s">
        <v>30</v>
      </c>
      <c r="F306" s="12" t="s">
        <v>20</v>
      </c>
      <c r="G306" s="12" t="s">
        <v>34</v>
      </c>
      <c r="H306" s="12" t="s">
        <v>26</v>
      </c>
      <c r="I306" s="12">
        <v>8</v>
      </c>
      <c r="J306" s="12">
        <v>53</v>
      </c>
      <c r="K306" s="13">
        <v>0.3</v>
      </c>
      <c r="L306" s="12">
        <v>37.099999999999987</v>
      </c>
      <c r="M306" s="12">
        <f t="shared" si="22"/>
        <v>296.79999999999995</v>
      </c>
      <c r="N306" s="14">
        <f t="shared" si="23"/>
        <v>0</v>
      </c>
      <c r="O306" s="14" t="str">
        <f t="shared" si="24"/>
        <v>F</v>
      </c>
    </row>
    <row r="307" spans="1:15" ht="14.4" x14ac:dyDescent="0.3">
      <c r="A307" s="10">
        <v>45543</v>
      </c>
      <c r="B307" s="11" t="str">
        <f t="shared" si="20"/>
        <v>2024</v>
      </c>
      <c r="C307" s="11" t="str">
        <f t="shared" si="21"/>
        <v>Sep</v>
      </c>
      <c r="D307" s="12">
        <v>1052</v>
      </c>
      <c r="E307" s="12" t="s">
        <v>39</v>
      </c>
      <c r="F307" s="12" t="s">
        <v>20</v>
      </c>
      <c r="G307" s="12" t="s">
        <v>33</v>
      </c>
      <c r="H307" s="12" t="s">
        <v>26</v>
      </c>
      <c r="I307" s="12">
        <v>9</v>
      </c>
      <c r="J307" s="12">
        <v>70</v>
      </c>
      <c r="K307" s="13">
        <v>0.25</v>
      </c>
      <c r="L307" s="12">
        <v>49</v>
      </c>
      <c r="M307" s="12">
        <f t="shared" si="22"/>
        <v>472.5</v>
      </c>
      <c r="N307" s="14">
        <f t="shared" si="23"/>
        <v>31.5</v>
      </c>
      <c r="O307" s="14" t="str">
        <f t="shared" si="24"/>
        <v>F</v>
      </c>
    </row>
    <row r="308" spans="1:15" ht="14.4" x14ac:dyDescent="0.3">
      <c r="A308" s="10">
        <v>45543</v>
      </c>
      <c r="B308" s="11" t="str">
        <f t="shared" si="20"/>
        <v>2024</v>
      </c>
      <c r="C308" s="11" t="str">
        <f t="shared" si="21"/>
        <v>Sep</v>
      </c>
      <c r="D308" s="12">
        <v>1316</v>
      </c>
      <c r="E308" s="12" t="s">
        <v>42</v>
      </c>
      <c r="F308" s="12" t="s">
        <v>20</v>
      </c>
      <c r="G308" s="12" t="s">
        <v>21</v>
      </c>
      <c r="H308" s="12" t="s">
        <v>41</v>
      </c>
      <c r="I308" s="12">
        <v>1</v>
      </c>
      <c r="J308" s="12">
        <v>148</v>
      </c>
      <c r="K308" s="13">
        <v>0.2</v>
      </c>
      <c r="L308" s="12">
        <v>103.6</v>
      </c>
      <c r="M308" s="12">
        <f t="shared" si="22"/>
        <v>118.4</v>
      </c>
      <c r="N308" s="14">
        <f t="shared" si="23"/>
        <v>14.800000000000011</v>
      </c>
      <c r="O308" s="14" t="str">
        <f t="shared" si="24"/>
        <v>F</v>
      </c>
    </row>
    <row r="309" spans="1:15" ht="14.4" x14ac:dyDescent="0.3">
      <c r="A309" s="10">
        <v>45542</v>
      </c>
      <c r="B309" s="11" t="str">
        <f t="shared" si="20"/>
        <v>2024</v>
      </c>
      <c r="C309" s="11" t="str">
        <f t="shared" si="21"/>
        <v>Sep</v>
      </c>
      <c r="D309" s="12">
        <v>1118</v>
      </c>
      <c r="E309" s="12" t="s">
        <v>23</v>
      </c>
      <c r="F309" s="12" t="s">
        <v>20</v>
      </c>
      <c r="G309" s="12" t="s">
        <v>21</v>
      </c>
      <c r="H309" s="12" t="s">
        <v>36</v>
      </c>
      <c r="I309" s="12">
        <v>7</v>
      </c>
      <c r="J309" s="12">
        <v>376</v>
      </c>
      <c r="K309" s="13">
        <v>0.1</v>
      </c>
      <c r="L309" s="12">
        <v>263.2</v>
      </c>
      <c r="M309" s="12">
        <f t="shared" si="22"/>
        <v>2368.8000000000002</v>
      </c>
      <c r="N309" s="14">
        <f t="shared" si="23"/>
        <v>526.40000000000032</v>
      </c>
      <c r="O309" s="14" t="str">
        <f t="shared" si="24"/>
        <v>F</v>
      </c>
    </row>
    <row r="310" spans="1:15" ht="14.4" x14ac:dyDescent="0.3">
      <c r="A310" s="10">
        <v>45541</v>
      </c>
      <c r="B310" s="11" t="str">
        <f t="shared" si="20"/>
        <v>2024</v>
      </c>
      <c r="C310" s="11" t="str">
        <f t="shared" si="21"/>
        <v>Sep</v>
      </c>
      <c r="D310" s="12">
        <v>1436</v>
      </c>
      <c r="E310" s="12" t="s">
        <v>27</v>
      </c>
      <c r="F310" s="12" t="s">
        <v>16</v>
      </c>
      <c r="G310" s="12" t="s">
        <v>28</v>
      </c>
      <c r="H310" s="12" t="s">
        <v>31</v>
      </c>
      <c r="I310" s="12">
        <v>3</v>
      </c>
      <c r="J310" s="12">
        <v>67</v>
      </c>
      <c r="K310" s="13">
        <v>0.1</v>
      </c>
      <c r="L310" s="12">
        <v>46.9</v>
      </c>
      <c r="M310" s="12">
        <f t="shared" si="22"/>
        <v>180.9</v>
      </c>
      <c r="N310" s="14">
        <f t="shared" si="23"/>
        <v>40.200000000000017</v>
      </c>
      <c r="O310" s="14" t="str">
        <f t="shared" si="24"/>
        <v>F</v>
      </c>
    </row>
    <row r="311" spans="1:15" ht="14.4" x14ac:dyDescent="0.3">
      <c r="A311" s="10">
        <v>45540</v>
      </c>
      <c r="B311" s="11" t="str">
        <f t="shared" si="20"/>
        <v>2024</v>
      </c>
      <c r="C311" s="11" t="str">
        <f t="shared" si="21"/>
        <v>Sep</v>
      </c>
      <c r="D311" s="12">
        <v>1320</v>
      </c>
      <c r="E311" s="12" t="s">
        <v>30</v>
      </c>
      <c r="F311" s="12" t="s">
        <v>24</v>
      </c>
      <c r="G311" s="12" t="s">
        <v>34</v>
      </c>
      <c r="H311" s="12" t="s">
        <v>26</v>
      </c>
      <c r="I311" s="12">
        <v>4</v>
      </c>
      <c r="J311" s="12">
        <v>395</v>
      </c>
      <c r="K311" s="13">
        <v>0.2</v>
      </c>
      <c r="L311" s="12">
        <v>276.5</v>
      </c>
      <c r="M311" s="12">
        <f t="shared" si="22"/>
        <v>1264</v>
      </c>
      <c r="N311" s="14">
        <f t="shared" si="23"/>
        <v>158</v>
      </c>
      <c r="O311" s="14" t="str">
        <f t="shared" si="24"/>
        <v>F</v>
      </c>
    </row>
    <row r="312" spans="1:15" ht="14.4" x14ac:dyDescent="0.3">
      <c r="A312" s="10">
        <v>45539</v>
      </c>
      <c r="B312" s="11" t="str">
        <f t="shared" si="20"/>
        <v>2024</v>
      </c>
      <c r="C312" s="11" t="str">
        <f t="shared" si="21"/>
        <v>Sep</v>
      </c>
      <c r="D312" s="12">
        <v>1424</v>
      </c>
      <c r="E312" s="12" t="s">
        <v>27</v>
      </c>
      <c r="F312" s="12" t="s">
        <v>38</v>
      </c>
      <c r="G312" s="12" t="s">
        <v>28</v>
      </c>
      <c r="H312" s="12" t="s">
        <v>36</v>
      </c>
      <c r="I312" s="12">
        <v>7</v>
      </c>
      <c r="J312" s="12">
        <v>230</v>
      </c>
      <c r="K312" s="13">
        <v>0.2</v>
      </c>
      <c r="L312" s="12">
        <v>161</v>
      </c>
      <c r="M312" s="12">
        <f t="shared" si="22"/>
        <v>1288</v>
      </c>
      <c r="N312" s="14">
        <f t="shared" si="23"/>
        <v>161</v>
      </c>
      <c r="O312" s="14" t="str">
        <f t="shared" si="24"/>
        <v>F</v>
      </c>
    </row>
    <row r="313" spans="1:15" ht="14.4" x14ac:dyDescent="0.3">
      <c r="A313" s="10">
        <v>45538</v>
      </c>
      <c r="B313" s="11" t="str">
        <f t="shared" si="20"/>
        <v>2024</v>
      </c>
      <c r="C313" s="11" t="str">
        <f t="shared" si="21"/>
        <v>Sep</v>
      </c>
      <c r="D313" s="12">
        <v>1027</v>
      </c>
      <c r="E313" s="12" t="s">
        <v>32</v>
      </c>
      <c r="F313" s="12" t="s">
        <v>16</v>
      </c>
      <c r="G313" s="12" t="s">
        <v>25</v>
      </c>
      <c r="H313" s="12" t="s">
        <v>41</v>
      </c>
      <c r="I313" s="12">
        <v>2</v>
      </c>
      <c r="J313" s="12">
        <v>493</v>
      </c>
      <c r="K313" s="13">
        <v>0.05</v>
      </c>
      <c r="L313" s="12">
        <v>345.1</v>
      </c>
      <c r="M313" s="12">
        <f t="shared" si="22"/>
        <v>936.69999999999993</v>
      </c>
      <c r="N313" s="14">
        <f t="shared" si="23"/>
        <v>246.49999999999989</v>
      </c>
      <c r="O313" s="14" t="str">
        <f t="shared" si="24"/>
        <v>F</v>
      </c>
    </row>
    <row r="314" spans="1:15" ht="14.4" x14ac:dyDescent="0.3">
      <c r="A314" s="10">
        <v>45538</v>
      </c>
      <c r="B314" s="11" t="str">
        <f t="shared" si="20"/>
        <v>2024</v>
      </c>
      <c r="C314" s="11" t="str">
        <f t="shared" si="21"/>
        <v>Sep</v>
      </c>
      <c r="D314" s="12">
        <v>1400</v>
      </c>
      <c r="E314" s="12" t="s">
        <v>19</v>
      </c>
      <c r="F314" s="12" t="s">
        <v>20</v>
      </c>
      <c r="G314" s="12" t="s">
        <v>34</v>
      </c>
      <c r="H314" s="12" t="s">
        <v>31</v>
      </c>
      <c r="I314" s="12">
        <v>8</v>
      </c>
      <c r="J314" s="12">
        <v>333</v>
      </c>
      <c r="K314" s="13">
        <v>0.05</v>
      </c>
      <c r="L314" s="12">
        <v>233.1</v>
      </c>
      <c r="M314" s="12">
        <f t="shared" si="22"/>
        <v>2530.7999999999997</v>
      </c>
      <c r="N314" s="14">
        <f t="shared" si="23"/>
        <v>665.99999999999977</v>
      </c>
      <c r="O314" s="14" t="str">
        <f t="shared" si="24"/>
        <v>F</v>
      </c>
    </row>
    <row r="315" spans="1:15" ht="14.4" x14ac:dyDescent="0.3">
      <c r="A315" s="10">
        <v>45537</v>
      </c>
      <c r="B315" s="11" t="str">
        <f t="shared" si="20"/>
        <v>2024</v>
      </c>
      <c r="C315" s="11" t="str">
        <f t="shared" si="21"/>
        <v>Sep</v>
      </c>
      <c r="D315" s="12">
        <v>1049</v>
      </c>
      <c r="E315" s="12" t="s">
        <v>23</v>
      </c>
      <c r="F315" s="12" t="s">
        <v>38</v>
      </c>
      <c r="G315" s="12" t="s">
        <v>33</v>
      </c>
      <c r="H315" s="12" t="s">
        <v>22</v>
      </c>
      <c r="I315" s="12">
        <v>8</v>
      </c>
      <c r="J315" s="12">
        <v>180</v>
      </c>
      <c r="K315" s="13">
        <v>0</v>
      </c>
      <c r="L315" s="12">
        <v>126</v>
      </c>
      <c r="M315" s="12">
        <f t="shared" si="22"/>
        <v>1440</v>
      </c>
      <c r="N315" s="14">
        <f t="shared" si="23"/>
        <v>432</v>
      </c>
      <c r="O315" s="14" t="str">
        <f t="shared" si="24"/>
        <v>F</v>
      </c>
    </row>
    <row r="316" spans="1:15" ht="14.4" x14ac:dyDescent="0.3">
      <c r="A316" s="10">
        <v>45536</v>
      </c>
      <c r="B316" s="11" t="str">
        <f t="shared" si="20"/>
        <v>2024</v>
      </c>
      <c r="C316" s="11" t="str">
        <f t="shared" si="21"/>
        <v>Sep</v>
      </c>
      <c r="D316" s="12">
        <v>1034</v>
      </c>
      <c r="E316" s="12" t="s">
        <v>23</v>
      </c>
      <c r="F316" s="12" t="s">
        <v>38</v>
      </c>
      <c r="G316" s="12" t="s">
        <v>33</v>
      </c>
      <c r="H316" s="12" t="s">
        <v>40</v>
      </c>
      <c r="I316" s="12">
        <v>10</v>
      </c>
      <c r="J316" s="12">
        <v>394</v>
      </c>
      <c r="K316" s="13">
        <v>0.05</v>
      </c>
      <c r="L316" s="12">
        <v>275.8</v>
      </c>
      <c r="M316" s="12">
        <f t="shared" si="22"/>
        <v>3743</v>
      </c>
      <c r="N316" s="14">
        <f t="shared" si="23"/>
        <v>985</v>
      </c>
      <c r="O316" s="14" t="str">
        <f t="shared" si="24"/>
        <v>F</v>
      </c>
    </row>
    <row r="317" spans="1:15" ht="14.4" x14ac:dyDescent="0.3">
      <c r="A317" s="10">
        <v>45535</v>
      </c>
      <c r="B317" s="11" t="str">
        <f t="shared" si="20"/>
        <v>2024</v>
      </c>
      <c r="C317" s="11" t="str">
        <f t="shared" si="21"/>
        <v>Aug</v>
      </c>
      <c r="D317" s="12">
        <v>1041</v>
      </c>
      <c r="E317" s="12" t="s">
        <v>35</v>
      </c>
      <c r="F317" s="12" t="s">
        <v>38</v>
      </c>
      <c r="G317" s="12" t="s">
        <v>21</v>
      </c>
      <c r="H317" s="12" t="s">
        <v>26</v>
      </c>
      <c r="I317" s="12">
        <v>4</v>
      </c>
      <c r="J317" s="12">
        <v>495</v>
      </c>
      <c r="K317" s="13">
        <v>0.3</v>
      </c>
      <c r="L317" s="12">
        <v>346.5</v>
      </c>
      <c r="M317" s="12">
        <f t="shared" si="22"/>
        <v>1386</v>
      </c>
      <c r="N317" s="14">
        <f t="shared" si="23"/>
        <v>0</v>
      </c>
      <c r="O317" s="14" t="str">
        <f t="shared" si="24"/>
        <v>F</v>
      </c>
    </row>
    <row r="318" spans="1:15" ht="14.4" x14ac:dyDescent="0.3">
      <c r="A318" s="10">
        <v>45534</v>
      </c>
      <c r="B318" s="11" t="str">
        <f t="shared" si="20"/>
        <v>2024</v>
      </c>
      <c r="C318" s="11" t="str">
        <f t="shared" si="21"/>
        <v>Aug</v>
      </c>
      <c r="D318" s="12">
        <v>1294</v>
      </c>
      <c r="E318" s="12" t="s">
        <v>39</v>
      </c>
      <c r="F318" s="12" t="s">
        <v>20</v>
      </c>
      <c r="G318" s="12" t="s">
        <v>21</v>
      </c>
      <c r="H318" s="12" t="s">
        <v>29</v>
      </c>
      <c r="I318" s="12">
        <v>10</v>
      </c>
      <c r="J318" s="12">
        <v>492</v>
      </c>
      <c r="K318" s="13">
        <v>0.05</v>
      </c>
      <c r="L318" s="12">
        <v>344.4</v>
      </c>
      <c r="M318" s="12">
        <f t="shared" si="22"/>
        <v>4674</v>
      </c>
      <c r="N318" s="14">
        <f t="shared" si="23"/>
        <v>1230</v>
      </c>
      <c r="O318" s="14" t="str">
        <f t="shared" si="24"/>
        <v>F</v>
      </c>
    </row>
    <row r="319" spans="1:15" ht="14.4" x14ac:dyDescent="0.3">
      <c r="A319" s="10">
        <v>45534</v>
      </c>
      <c r="B319" s="11" t="str">
        <f t="shared" si="20"/>
        <v>2024</v>
      </c>
      <c r="C319" s="11" t="str">
        <f t="shared" si="21"/>
        <v>Aug</v>
      </c>
      <c r="D319" s="12">
        <v>1238</v>
      </c>
      <c r="E319" s="12" t="s">
        <v>37</v>
      </c>
      <c r="F319" s="12" t="s">
        <v>16</v>
      </c>
      <c r="G319" s="12" t="s">
        <v>34</v>
      </c>
      <c r="H319" s="12" t="s">
        <v>18</v>
      </c>
      <c r="I319" s="12">
        <v>3</v>
      </c>
      <c r="J319" s="12">
        <v>491</v>
      </c>
      <c r="K319" s="13">
        <v>0.3</v>
      </c>
      <c r="L319" s="12">
        <v>343.7</v>
      </c>
      <c r="M319" s="12">
        <f t="shared" si="22"/>
        <v>1031.0999999999999</v>
      </c>
      <c r="N319" s="14">
        <f t="shared" si="23"/>
        <v>0</v>
      </c>
      <c r="O319" s="14" t="str">
        <f t="shared" si="24"/>
        <v>F</v>
      </c>
    </row>
    <row r="320" spans="1:15" ht="14.4" x14ac:dyDescent="0.3">
      <c r="A320" s="10">
        <v>45530</v>
      </c>
      <c r="B320" s="11" t="str">
        <f t="shared" si="20"/>
        <v>2024</v>
      </c>
      <c r="C320" s="11" t="str">
        <f t="shared" si="21"/>
        <v>Aug</v>
      </c>
      <c r="D320" s="12">
        <v>1426</v>
      </c>
      <c r="E320" s="12" t="s">
        <v>37</v>
      </c>
      <c r="F320" s="12" t="s">
        <v>20</v>
      </c>
      <c r="G320" s="12" t="s">
        <v>25</v>
      </c>
      <c r="H320" s="12" t="s">
        <v>31</v>
      </c>
      <c r="I320" s="12">
        <v>6</v>
      </c>
      <c r="J320" s="12">
        <v>148</v>
      </c>
      <c r="K320" s="13">
        <v>0.2</v>
      </c>
      <c r="L320" s="12">
        <v>103.6</v>
      </c>
      <c r="M320" s="12">
        <f t="shared" si="22"/>
        <v>710.40000000000009</v>
      </c>
      <c r="N320" s="14">
        <f t="shared" si="23"/>
        <v>88.800000000000182</v>
      </c>
      <c r="O320" s="14" t="str">
        <f t="shared" si="24"/>
        <v>F</v>
      </c>
    </row>
    <row r="321" spans="1:15" ht="14.4" x14ac:dyDescent="0.3">
      <c r="A321" s="10">
        <v>45530</v>
      </c>
      <c r="B321" s="11" t="str">
        <f t="shared" si="20"/>
        <v>2024</v>
      </c>
      <c r="C321" s="11" t="str">
        <f t="shared" si="21"/>
        <v>Aug</v>
      </c>
      <c r="D321" s="12">
        <v>1462</v>
      </c>
      <c r="E321" s="12" t="s">
        <v>42</v>
      </c>
      <c r="F321" s="12" t="s">
        <v>16</v>
      </c>
      <c r="G321" s="12" t="s">
        <v>33</v>
      </c>
      <c r="H321" s="12" t="s">
        <v>31</v>
      </c>
      <c r="I321" s="12">
        <v>7</v>
      </c>
      <c r="J321" s="12">
        <v>219</v>
      </c>
      <c r="K321" s="13">
        <v>0.15</v>
      </c>
      <c r="L321" s="12">
        <v>153.30000000000001</v>
      </c>
      <c r="M321" s="12">
        <f t="shared" si="22"/>
        <v>1303.05</v>
      </c>
      <c r="N321" s="14">
        <f t="shared" si="23"/>
        <v>229.94999999999982</v>
      </c>
      <c r="O321" s="14" t="str">
        <f t="shared" si="24"/>
        <v>F</v>
      </c>
    </row>
    <row r="322" spans="1:15" ht="14.4" x14ac:dyDescent="0.3">
      <c r="A322" s="10">
        <v>45527</v>
      </c>
      <c r="B322" s="11" t="str">
        <f t="shared" ref="B322:B385" si="25">TEXT(A322,"yyyy")</f>
        <v>2024</v>
      </c>
      <c r="C322" s="11" t="str">
        <f t="shared" ref="C322:C385" si="26">TEXT(A322,"mmm")</f>
        <v>Aug</v>
      </c>
      <c r="D322" s="12">
        <v>1015</v>
      </c>
      <c r="E322" s="12" t="s">
        <v>32</v>
      </c>
      <c r="F322" s="12" t="s">
        <v>20</v>
      </c>
      <c r="G322" s="12" t="s">
        <v>21</v>
      </c>
      <c r="H322" s="12" t="s">
        <v>22</v>
      </c>
      <c r="I322" s="12">
        <v>2</v>
      </c>
      <c r="J322" s="12">
        <v>149</v>
      </c>
      <c r="K322" s="13">
        <v>0.15</v>
      </c>
      <c r="L322" s="12">
        <v>104.3</v>
      </c>
      <c r="M322" s="12">
        <f t="shared" ref="M322:M385" si="27">I322*J322*(1-K322)</f>
        <v>253.29999999999998</v>
      </c>
      <c r="N322" s="14">
        <f t="shared" ref="N322:N385" si="28">M322-L322*I322</f>
        <v>44.699999999999989</v>
      </c>
      <c r="O322" s="14" t="str">
        <f t="shared" ref="O322:O385" si="29">IF(COUNTIF(E322:E821,E322)&gt;1,"F","O")</f>
        <v>F</v>
      </c>
    </row>
    <row r="323" spans="1:15" ht="14.4" x14ac:dyDescent="0.3">
      <c r="A323" s="10">
        <v>45527</v>
      </c>
      <c r="B323" s="11" t="str">
        <f t="shared" si="25"/>
        <v>2024</v>
      </c>
      <c r="C323" s="11" t="str">
        <f t="shared" si="26"/>
        <v>Aug</v>
      </c>
      <c r="D323" s="12">
        <v>1033</v>
      </c>
      <c r="E323" s="12" t="s">
        <v>37</v>
      </c>
      <c r="F323" s="12" t="s">
        <v>24</v>
      </c>
      <c r="G323" s="12" t="s">
        <v>34</v>
      </c>
      <c r="H323" s="12" t="s">
        <v>41</v>
      </c>
      <c r="I323" s="12">
        <v>9</v>
      </c>
      <c r="J323" s="12">
        <v>285</v>
      </c>
      <c r="K323" s="13">
        <v>0.15</v>
      </c>
      <c r="L323" s="12">
        <v>199.5</v>
      </c>
      <c r="M323" s="12">
        <f t="shared" si="27"/>
        <v>2180.25</v>
      </c>
      <c r="N323" s="14">
        <f t="shared" si="28"/>
        <v>384.75</v>
      </c>
      <c r="O323" s="14" t="str">
        <f t="shared" si="29"/>
        <v>F</v>
      </c>
    </row>
    <row r="324" spans="1:15" ht="14.4" x14ac:dyDescent="0.3">
      <c r="A324" s="10">
        <v>45525</v>
      </c>
      <c r="B324" s="11" t="str">
        <f t="shared" si="25"/>
        <v>2024</v>
      </c>
      <c r="C324" s="11" t="str">
        <f t="shared" si="26"/>
        <v>Aug</v>
      </c>
      <c r="D324" s="12">
        <v>1123</v>
      </c>
      <c r="E324" s="12" t="s">
        <v>39</v>
      </c>
      <c r="F324" s="12" t="s">
        <v>16</v>
      </c>
      <c r="G324" s="12" t="s">
        <v>34</v>
      </c>
      <c r="H324" s="12" t="s">
        <v>29</v>
      </c>
      <c r="I324" s="12">
        <v>9</v>
      </c>
      <c r="J324" s="12">
        <v>112</v>
      </c>
      <c r="K324" s="13">
        <v>0.1</v>
      </c>
      <c r="L324" s="12">
        <v>78.399999999999991</v>
      </c>
      <c r="M324" s="12">
        <f t="shared" si="27"/>
        <v>907.2</v>
      </c>
      <c r="N324" s="14">
        <f t="shared" si="28"/>
        <v>201.60000000000014</v>
      </c>
      <c r="O324" s="14" t="str">
        <f t="shared" si="29"/>
        <v>F</v>
      </c>
    </row>
    <row r="325" spans="1:15" ht="14.4" x14ac:dyDescent="0.3">
      <c r="A325" s="10">
        <v>45524</v>
      </c>
      <c r="B325" s="11" t="str">
        <f t="shared" si="25"/>
        <v>2024</v>
      </c>
      <c r="C325" s="11" t="str">
        <f t="shared" si="26"/>
        <v>Aug</v>
      </c>
      <c r="D325" s="12">
        <v>1500</v>
      </c>
      <c r="E325" s="12" t="s">
        <v>19</v>
      </c>
      <c r="F325" s="12" t="s">
        <v>38</v>
      </c>
      <c r="G325" s="12" t="s">
        <v>17</v>
      </c>
      <c r="H325" s="12" t="s">
        <v>29</v>
      </c>
      <c r="I325" s="12">
        <v>6</v>
      </c>
      <c r="J325" s="12">
        <v>229</v>
      </c>
      <c r="K325" s="13">
        <v>0.3</v>
      </c>
      <c r="L325" s="12">
        <v>160.30000000000001</v>
      </c>
      <c r="M325" s="12">
        <f t="shared" si="27"/>
        <v>961.8</v>
      </c>
      <c r="N325" s="14">
        <f t="shared" si="28"/>
        <v>0</v>
      </c>
      <c r="O325" s="14" t="str">
        <f t="shared" si="29"/>
        <v>F</v>
      </c>
    </row>
    <row r="326" spans="1:15" ht="14.4" x14ac:dyDescent="0.3">
      <c r="A326" s="10">
        <v>45523</v>
      </c>
      <c r="B326" s="11" t="str">
        <f t="shared" si="25"/>
        <v>2024</v>
      </c>
      <c r="C326" s="11" t="str">
        <f t="shared" si="26"/>
        <v>Aug</v>
      </c>
      <c r="D326" s="12">
        <v>1080</v>
      </c>
      <c r="E326" s="12" t="s">
        <v>15</v>
      </c>
      <c r="F326" s="12" t="s">
        <v>16</v>
      </c>
      <c r="G326" s="12" t="s">
        <v>17</v>
      </c>
      <c r="H326" s="12" t="s">
        <v>29</v>
      </c>
      <c r="I326" s="12">
        <v>4</v>
      </c>
      <c r="J326" s="12">
        <v>439</v>
      </c>
      <c r="K326" s="13">
        <v>0.25</v>
      </c>
      <c r="L326" s="12">
        <v>307.3</v>
      </c>
      <c r="M326" s="12">
        <f t="shared" si="27"/>
        <v>1317</v>
      </c>
      <c r="N326" s="14">
        <f t="shared" si="28"/>
        <v>87.799999999999955</v>
      </c>
      <c r="O326" s="14" t="str">
        <f t="shared" si="29"/>
        <v>F</v>
      </c>
    </row>
    <row r="327" spans="1:15" ht="14.4" x14ac:dyDescent="0.3">
      <c r="A327" s="10">
        <v>45519</v>
      </c>
      <c r="B327" s="11" t="str">
        <f t="shared" si="25"/>
        <v>2024</v>
      </c>
      <c r="C327" s="11" t="str">
        <f t="shared" si="26"/>
        <v>Aug</v>
      </c>
      <c r="D327" s="12">
        <v>1368</v>
      </c>
      <c r="E327" s="12" t="s">
        <v>15</v>
      </c>
      <c r="F327" s="12" t="s">
        <v>16</v>
      </c>
      <c r="G327" s="12" t="s">
        <v>21</v>
      </c>
      <c r="H327" s="12" t="s">
        <v>40</v>
      </c>
      <c r="I327" s="12">
        <v>8</v>
      </c>
      <c r="J327" s="12">
        <v>117</v>
      </c>
      <c r="K327" s="13">
        <v>0.1</v>
      </c>
      <c r="L327" s="12">
        <v>81.899999999999991</v>
      </c>
      <c r="M327" s="12">
        <f t="shared" si="27"/>
        <v>842.4</v>
      </c>
      <c r="N327" s="14">
        <f t="shared" si="28"/>
        <v>187.20000000000005</v>
      </c>
      <c r="O327" s="14" t="str">
        <f t="shared" si="29"/>
        <v>F</v>
      </c>
    </row>
    <row r="328" spans="1:15" ht="14.4" x14ac:dyDescent="0.3">
      <c r="A328" s="10">
        <v>45519</v>
      </c>
      <c r="B328" s="11" t="str">
        <f t="shared" si="25"/>
        <v>2024</v>
      </c>
      <c r="C328" s="11" t="str">
        <f t="shared" si="26"/>
        <v>Aug</v>
      </c>
      <c r="D328" s="12">
        <v>1404</v>
      </c>
      <c r="E328" s="12" t="s">
        <v>35</v>
      </c>
      <c r="F328" s="12" t="s">
        <v>24</v>
      </c>
      <c r="G328" s="12" t="s">
        <v>34</v>
      </c>
      <c r="H328" s="12" t="s">
        <v>31</v>
      </c>
      <c r="I328" s="12">
        <v>5</v>
      </c>
      <c r="J328" s="12">
        <v>353</v>
      </c>
      <c r="K328" s="13">
        <v>0.2</v>
      </c>
      <c r="L328" s="12">
        <v>247.1</v>
      </c>
      <c r="M328" s="12">
        <f t="shared" si="27"/>
        <v>1412</v>
      </c>
      <c r="N328" s="14">
        <f t="shared" si="28"/>
        <v>176.5</v>
      </c>
      <c r="O328" s="14" t="str">
        <f t="shared" si="29"/>
        <v>F</v>
      </c>
    </row>
    <row r="329" spans="1:15" ht="14.4" x14ac:dyDescent="0.3">
      <c r="A329" s="10">
        <v>45517</v>
      </c>
      <c r="B329" s="11" t="str">
        <f t="shared" si="25"/>
        <v>2024</v>
      </c>
      <c r="C329" s="11" t="str">
        <f t="shared" si="26"/>
        <v>Aug</v>
      </c>
      <c r="D329" s="12">
        <v>1019</v>
      </c>
      <c r="E329" s="12" t="s">
        <v>35</v>
      </c>
      <c r="F329" s="12" t="s">
        <v>38</v>
      </c>
      <c r="G329" s="12" t="s">
        <v>17</v>
      </c>
      <c r="H329" s="12" t="s">
        <v>29</v>
      </c>
      <c r="I329" s="12">
        <v>2</v>
      </c>
      <c r="J329" s="12">
        <v>199</v>
      </c>
      <c r="K329" s="13">
        <v>0.25</v>
      </c>
      <c r="L329" s="12">
        <v>139.30000000000001</v>
      </c>
      <c r="M329" s="12">
        <f t="shared" si="27"/>
        <v>298.5</v>
      </c>
      <c r="N329" s="14">
        <f t="shared" si="28"/>
        <v>19.899999999999977</v>
      </c>
      <c r="O329" s="14" t="str">
        <f t="shared" si="29"/>
        <v>F</v>
      </c>
    </row>
    <row r="330" spans="1:15" ht="14.4" x14ac:dyDescent="0.3">
      <c r="A330" s="10">
        <v>45516</v>
      </c>
      <c r="B330" s="11" t="str">
        <f t="shared" si="25"/>
        <v>2024</v>
      </c>
      <c r="C330" s="11" t="str">
        <f t="shared" si="26"/>
        <v>Aug</v>
      </c>
      <c r="D330" s="12">
        <v>1376</v>
      </c>
      <c r="E330" s="12" t="s">
        <v>27</v>
      </c>
      <c r="F330" s="12" t="s">
        <v>24</v>
      </c>
      <c r="G330" s="12" t="s">
        <v>17</v>
      </c>
      <c r="H330" s="12" t="s">
        <v>31</v>
      </c>
      <c r="I330" s="12">
        <v>6</v>
      </c>
      <c r="J330" s="12">
        <v>184</v>
      </c>
      <c r="K330" s="13">
        <v>0.2</v>
      </c>
      <c r="L330" s="12">
        <v>128.80000000000001</v>
      </c>
      <c r="M330" s="12">
        <f t="shared" si="27"/>
        <v>883.2</v>
      </c>
      <c r="N330" s="14">
        <f t="shared" si="28"/>
        <v>110.39999999999998</v>
      </c>
      <c r="O330" s="14" t="str">
        <f t="shared" si="29"/>
        <v>F</v>
      </c>
    </row>
    <row r="331" spans="1:15" ht="14.4" x14ac:dyDescent="0.3">
      <c r="A331" s="10">
        <v>45513</v>
      </c>
      <c r="B331" s="11" t="str">
        <f t="shared" si="25"/>
        <v>2024</v>
      </c>
      <c r="C331" s="11" t="str">
        <f t="shared" si="26"/>
        <v>Aug</v>
      </c>
      <c r="D331" s="12">
        <v>1325</v>
      </c>
      <c r="E331" s="12" t="s">
        <v>27</v>
      </c>
      <c r="F331" s="12" t="s">
        <v>20</v>
      </c>
      <c r="G331" s="12" t="s">
        <v>17</v>
      </c>
      <c r="H331" s="12" t="s">
        <v>29</v>
      </c>
      <c r="I331" s="12">
        <v>5</v>
      </c>
      <c r="J331" s="12">
        <v>434</v>
      </c>
      <c r="K331" s="13">
        <v>0.25</v>
      </c>
      <c r="L331" s="12">
        <v>303.8</v>
      </c>
      <c r="M331" s="12">
        <f t="shared" si="27"/>
        <v>1627.5</v>
      </c>
      <c r="N331" s="14">
        <f t="shared" si="28"/>
        <v>108.5</v>
      </c>
      <c r="O331" s="14" t="str">
        <f t="shared" si="29"/>
        <v>F</v>
      </c>
    </row>
    <row r="332" spans="1:15" ht="14.4" x14ac:dyDescent="0.3">
      <c r="A332" s="10">
        <v>45513</v>
      </c>
      <c r="B332" s="11" t="str">
        <f t="shared" si="25"/>
        <v>2024</v>
      </c>
      <c r="C332" s="11" t="str">
        <f t="shared" si="26"/>
        <v>Aug</v>
      </c>
      <c r="D332" s="12">
        <v>1210</v>
      </c>
      <c r="E332" s="12" t="s">
        <v>42</v>
      </c>
      <c r="F332" s="12" t="s">
        <v>38</v>
      </c>
      <c r="G332" s="12" t="s">
        <v>33</v>
      </c>
      <c r="H332" s="12" t="s">
        <v>31</v>
      </c>
      <c r="I332" s="12">
        <v>6</v>
      </c>
      <c r="J332" s="12">
        <v>274</v>
      </c>
      <c r="K332" s="13">
        <v>0.3</v>
      </c>
      <c r="L332" s="12">
        <v>191.8</v>
      </c>
      <c r="M332" s="12">
        <f t="shared" si="27"/>
        <v>1150.8</v>
      </c>
      <c r="N332" s="14">
        <f t="shared" si="28"/>
        <v>0</v>
      </c>
      <c r="O332" s="14" t="str">
        <f t="shared" si="29"/>
        <v>F</v>
      </c>
    </row>
    <row r="333" spans="1:15" ht="14.4" x14ac:dyDescent="0.3">
      <c r="A333" s="10">
        <v>45513</v>
      </c>
      <c r="B333" s="11" t="str">
        <f t="shared" si="25"/>
        <v>2024</v>
      </c>
      <c r="C333" s="11" t="str">
        <f t="shared" si="26"/>
        <v>Aug</v>
      </c>
      <c r="D333" s="12">
        <v>1272</v>
      </c>
      <c r="E333" s="12" t="s">
        <v>35</v>
      </c>
      <c r="F333" s="12" t="s">
        <v>38</v>
      </c>
      <c r="G333" s="12" t="s">
        <v>17</v>
      </c>
      <c r="H333" s="12" t="s">
        <v>22</v>
      </c>
      <c r="I333" s="12">
        <v>4</v>
      </c>
      <c r="J333" s="12">
        <v>233</v>
      </c>
      <c r="K333" s="13">
        <v>0.3</v>
      </c>
      <c r="L333" s="12">
        <v>163.1</v>
      </c>
      <c r="M333" s="12">
        <f t="shared" si="27"/>
        <v>652.4</v>
      </c>
      <c r="N333" s="14">
        <f t="shared" si="28"/>
        <v>0</v>
      </c>
      <c r="O333" s="14" t="str">
        <f t="shared" si="29"/>
        <v>F</v>
      </c>
    </row>
    <row r="334" spans="1:15" ht="14.4" x14ac:dyDescent="0.3">
      <c r="A334" s="10">
        <v>45512</v>
      </c>
      <c r="B334" s="11" t="str">
        <f t="shared" si="25"/>
        <v>2024</v>
      </c>
      <c r="C334" s="11" t="str">
        <f t="shared" si="26"/>
        <v>Aug</v>
      </c>
      <c r="D334" s="12">
        <v>1299</v>
      </c>
      <c r="E334" s="12" t="s">
        <v>27</v>
      </c>
      <c r="F334" s="12" t="s">
        <v>20</v>
      </c>
      <c r="G334" s="12" t="s">
        <v>28</v>
      </c>
      <c r="H334" s="12" t="s">
        <v>26</v>
      </c>
      <c r="I334" s="12">
        <v>4</v>
      </c>
      <c r="J334" s="12">
        <v>197</v>
      </c>
      <c r="K334" s="13">
        <v>0.15</v>
      </c>
      <c r="L334" s="12">
        <v>137.9</v>
      </c>
      <c r="M334" s="12">
        <f t="shared" si="27"/>
        <v>669.8</v>
      </c>
      <c r="N334" s="14">
        <f t="shared" si="28"/>
        <v>118.19999999999993</v>
      </c>
      <c r="O334" s="14" t="str">
        <f t="shared" si="29"/>
        <v>F</v>
      </c>
    </row>
    <row r="335" spans="1:15" ht="14.4" x14ac:dyDescent="0.3">
      <c r="A335" s="10">
        <v>45509</v>
      </c>
      <c r="B335" s="11" t="str">
        <f t="shared" si="25"/>
        <v>2024</v>
      </c>
      <c r="C335" s="11" t="str">
        <f t="shared" si="26"/>
        <v>Aug</v>
      </c>
      <c r="D335" s="12">
        <v>1016</v>
      </c>
      <c r="E335" s="12" t="s">
        <v>27</v>
      </c>
      <c r="F335" s="12" t="s">
        <v>20</v>
      </c>
      <c r="G335" s="12" t="s">
        <v>33</v>
      </c>
      <c r="H335" s="12" t="s">
        <v>26</v>
      </c>
      <c r="I335" s="12">
        <v>7</v>
      </c>
      <c r="J335" s="12">
        <v>409</v>
      </c>
      <c r="K335" s="13">
        <v>0.25</v>
      </c>
      <c r="L335" s="12">
        <v>286.3</v>
      </c>
      <c r="M335" s="12">
        <f t="shared" si="27"/>
        <v>2147.25</v>
      </c>
      <c r="N335" s="14">
        <f t="shared" si="28"/>
        <v>143.14999999999986</v>
      </c>
      <c r="O335" s="14" t="str">
        <f t="shared" si="29"/>
        <v>F</v>
      </c>
    </row>
    <row r="336" spans="1:15" ht="14.4" x14ac:dyDescent="0.3">
      <c r="A336" s="10">
        <v>45509</v>
      </c>
      <c r="B336" s="11" t="str">
        <f t="shared" si="25"/>
        <v>2024</v>
      </c>
      <c r="C336" s="11" t="str">
        <f t="shared" si="26"/>
        <v>Aug</v>
      </c>
      <c r="D336" s="12">
        <v>1099</v>
      </c>
      <c r="E336" s="12" t="s">
        <v>30</v>
      </c>
      <c r="F336" s="12" t="s">
        <v>20</v>
      </c>
      <c r="G336" s="12" t="s">
        <v>34</v>
      </c>
      <c r="H336" s="12" t="s">
        <v>31</v>
      </c>
      <c r="I336" s="12">
        <v>5</v>
      </c>
      <c r="J336" s="12">
        <v>345</v>
      </c>
      <c r="K336" s="13">
        <v>0.05</v>
      </c>
      <c r="L336" s="12">
        <v>241.5</v>
      </c>
      <c r="M336" s="12">
        <f t="shared" si="27"/>
        <v>1638.75</v>
      </c>
      <c r="N336" s="14">
        <f t="shared" si="28"/>
        <v>431.25</v>
      </c>
      <c r="O336" s="14" t="str">
        <f t="shared" si="29"/>
        <v>F</v>
      </c>
    </row>
    <row r="337" spans="1:15" ht="14.4" x14ac:dyDescent="0.3">
      <c r="A337" s="10">
        <v>45509</v>
      </c>
      <c r="B337" s="11" t="str">
        <f t="shared" si="25"/>
        <v>2024</v>
      </c>
      <c r="C337" s="11" t="str">
        <f t="shared" si="26"/>
        <v>Aug</v>
      </c>
      <c r="D337" s="12">
        <v>1132</v>
      </c>
      <c r="E337" s="12" t="s">
        <v>23</v>
      </c>
      <c r="F337" s="12" t="s">
        <v>24</v>
      </c>
      <c r="G337" s="12" t="s">
        <v>33</v>
      </c>
      <c r="H337" s="12" t="s">
        <v>18</v>
      </c>
      <c r="I337" s="12">
        <v>3</v>
      </c>
      <c r="J337" s="12">
        <v>280</v>
      </c>
      <c r="K337" s="13">
        <v>0.15</v>
      </c>
      <c r="L337" s="12">
        <v>196</v>
      </c>
      <c r="M337" s="12">
        <f t="shared" si="27"/>
        <v>714</v>
      </c>
      <c r="N337" s="14">
        <f t="shared" si="28"/>
        <v>126</v>
      </c>
      <c r="O337" s="14" t="str">
        <f t="shared" si="29"/>
        <v>F</v>
      </c>
    </row>
    <row r="338" spans="1:15" ht="14.4" x14ac:dyDescent="0.3">
      <c r="A338" s="10">
        <v>45506</v>
      </c>
      <c r="B338" s="11" t="str">
        <f t="shared" si="25"/>
        <v>2024</v>
      </c>
      <c r="C338" s="11" t="str">
        <f t="shared" si="26"/>
        <v>Aug</v>
      </c>
      <c r="D338" s="12">
        <v>1398</v>
      </c>
      <c r="E338" s="12" t="s">
        <v>39</v>
      </c>
      <c r="F338" s="12" t="s">
        <v>20</v>
      </c>
      <c r="G338" s="12" t="s">
        <v>17</v>
      </c>
      <c r="H338" s="12" t="s">
        <v>18</v>
      </c>
      <c r="I338" s="12">
        <v>4</v>
      </c>
      <c r="J338" s="12">
        <v>335</v>
      </c>
      <c r="K338" s="13">
        <v>0.25</v>
      </c>
      <c r="L338" s="12">
        <v>234.5</v>
      </c>
      <c r="M338" s="12">
        <f t="shared" si="27"/>
        <v>1005</v>
      </c>
      <c r="N338" s="14">
        <f t="shared" si="28"/>
        <v>67</v>
      </c>
      <c r="O338" s="14" t="str">
        <f t="shared" si="29"/>
        <v>F</v>
      </c>
    </row>
    <row r="339" spans="1:15" ht="14.4" x14ac:dyDescent="0.3">
      <c r="A339" s="10">
        <v>45503</v>
      </c>
      <c r="B339" s="11" t="str">
        <f t="shared" si="25"/>
        <v>2024</v>
      </c>
      <c r="C339" s="11" t="str">
        <f t="shared" si="26"/>
        <v>Jul</v>
      </c>
      <c r="D339" s="12">
        <v>1198</v>
      </c>
      <c r="E339" s="12" t="s">
        <v>37</v>
      </c>
      <c r="F339" s="12" t="s">
        <v>16</v>
      </c>
      <c r="G339" s="12" t="s">
        <v>25</v>
      </c>
      <c r="H339" s="12" t="s">
        <v>18</v>
      </c>
      <c r="I339" s="12">
        <v>4</v>
      </c>
      <c r="J339" s="12">
        <v>333</v>
      </c>
      <c r="K339" s="13">
        <v>0.1</v>
      </c>
      <c r="L339" s="12">
        <v>233.1</v>
      </c>
      <c r="M339" s="12">
        <f t="shared" si="27"/>
        <v>1198.8</v>
      </c>
      <c r="N339" s="14">
        <f t="shared" si="28"/>
        <v>266.39999999999998</v>
      </c>
      <c r="O339" s="14" t="str">
        <f t="shared" si="29"/>
        <v>F</v>
      </c>
    </row>
    <row r="340" spans="1:15" ht="14.4" x14ac:dyDescent="0.3">
      <c r="A340" s="10">
        <v>45503</v>
      </c>
      <c r="B340" s="11" t="str">
        <f t="shared" si="25"/>
        <v>2024</v>
      </c>
      <c r="C340" s="11" t="str">
        <f t="shared" si="26"/>
        <v>Jul</v>
      </c>
      <c r="D340" s="12">
        <v>1373</v>
      </c>
      <c r="E340" s="12" t="s">
        <v>27</v>
      </c>
      <c r="F340" s="12" t="s">
        <v>38</v>
      </c>
      <c r="G340" s="12" t="s">
        <v>17</v>
      </c>
      <c r="H340" s="12" t="s">
        <v>26</v>
      </c>
      <c r="I340" s="12">
        <v>1</v>
      </c>
      <c r="J340" s="12">
        <v>453</v>
      </c>
      <c r="K340" s="13">
        <v>0</v>
      </c>
      <c r="L340" s="12">
        <v>317.10000000000002</v>
      </c>
      <c r="M340" s="12">
        <f t="shared" si="27"/>
        <v>453</v>
      </c>
      <c r="N340" s="14">
        <f t="shared" si="28"/>
        <v>135.89999999999998</v>
      </c>
      <c r="O340" s="14" t="str">
        <f t="shared" si="29"/>
        <v>F</v>
      </c>
    </row>
    <row r="341" spans="1:15" ht="14.4" x14ac:dyDescent="0.3">
      <c r="A341" s="10">
        <v>45502</v>
      </c>
      <c r="B341" s="11" t="str">
        <f t="shared" si="25"/>
        <v>2024</v>
      </c>
      <c r="C341" s="11" t="str">
        <f t="shared" si="26"/>
        <v>Jul</v>
      </c>
      <c r="D341" s="12">
        <v>1228</v>
      </c>
      <c r="E341" s="12" t="s">
        <v>23</v>
      </c>
      <c r="F341" s="12" t="s">
        <v>16</v>
      </c>
      <c r="G341" s="12" t="s">
        <v>33</v>
      </c>
      <c r="H341" s="12" t="s">
        <v>22</v>
      </c>
      <c r="I341" s="12">
        <v>5</v>
      </c>
      <c r="J341" s="12">
        <v>221</v>
      </c>
      <c r="K341" s="13">
        <v>0.2</v>
      </c>
      <c r="L341" s="12">
        <v>154.69999999999999</v>
      </c>
      <c r="M341" s="12">
        <f t="shared" si="27"/>
        <v>884</v>
      </c>
      <c r="N341" s="14">
        <f t="shared" si="28"/>
        <v>110.5</v>
      </c>
      <c r="O341" s="14" t="str">
        <f t="shared" si="29"/>
        <v>F</v>
      </c>
    </row>
    <row r="342" spans="1:15" ht="14.4" x14ac:dyDescent="0.3">
      <c r="A342" s="10">
        <v>45501</v>
      </c>
      <c r="B342" s="11" t="str">
        <f t="shared" si="25"/>
        <v>2024</v>
      </c>
      <c r="C342" s="11" t="str">
        <f t="shared" si="26"/>
        <v>Jul</v>
      </c>
      <c r="D342" s="12">
        <v>1403</v>
      </c>
      <c r="E342" s="12" t="s">
        <v>39</v>
      </c>
      <c r="F342" s="12" t="s">
        <v>20</v>
      </c>
      <c r="G342" s="12" t="s">
        <v>21</v>
      </c>
      <c r="H342" s="12" t="s">
        <v>29</v>
      </c>
      <c r="I342" s="12">
        <v>10</v>
      </c>
      <c r="J342" s="12">
        <v>366</v>
      </c>
      <c r="K342" s="13">
        <v>0.1</v>
      </c>
      <c r="L342" s="12">
        <v>256.2</v>
      </c>
      <c r="M342" s="12">
        <f t="shared" si="27"/>
        <v>3294</v>
      </c>
      <c r="N342" s="14">
        <f t="shared" si="28"/>
        <v>732</v>
      </c>
      <c r="O342" s="14" t="str">
        <f t="shared" si="29"/>
        <v>F</v>
      </c>
    </row>
    <row r="343" spans="1:15" ht="14.4" x14ac:dyDescent="0.3">
      <c r="A343" s="10">
        <v>45501</v>
      </c>
      <c r="B343" s="11" t="str">
        <f t="shared" si="25"/>
        <v>2024</v>
      </c>
      <c r="C343" s="11" t="str">
        <f t="shared" si="26"/>
        <v>Jul</v>
      </c>
      <c r="D343" s="12">
        <v>1395</v>
      </c>
      <c r="E343" s="12" t="s">
        <v>39</v>
      </c>
      <c r="F343" s="12" t="s">
        <v>24</v>
      </c>
      <c r="G343" s="12" t="s">
        <v>21</v>
      </c>
      <c r="H343" s="12" t="s">
        <v>36</v>
      </c>
      <c r="I343" s="12">
        <v>2</v>
      </c>
      <c r="J343" s="12">
        <v>76</v>
      </c>
      <c r="K343" s="13">
        <v>0.2</v>
      </c>
      <c r="L343" s="12">
        <v>53.2</v>
      </c>
      <c r="M343" s="12">
        <f t="shared" si="27"/>
        <v>121.60000000000001</v>
      </c>
      <c r="N343" s="14">
        <f t="shared" si="28"/>
        <v>15.200000000000003</v>
      </c>
      <c r="O343" s="14" t="str">
        <f t="shared" si="29"/>
        <v>F</v>
      </c>
    </row>
    <row r="344" spans="1:15" ht="14.4" x14ac:dyDescent="0.3">
      <c r="A344" s="10">
        <v>45500</v>
      </c>
      <c r="B344" s="11" t="str">
        <f t="shared" si="25"/>
        <v>2024</v>
      </c>
      <c r="C344" s="11" t="str">
        <f t="shared" si="26"/>
        <v>Jul</v>
      </c>
      <c r="D344" s="12">
        <v>1496</v>
      </c>
      <c r="E344" s="12" t="s">
        <v>35</v>
      </c>
      <c r="F344" s="12" t="s">
        <v>20</v>
      </c>
      <c r="G344" s="12" t="s">
        <v>33</v>
      </c>
      <c r="H344" s="12" t="s">
        <v>22</v>
      </c>
      <c r="I344" s="12">
        <v>2</v>
      </c>
      <c r="J344" s="12">
        <v>363</v>
      </c>
      <c r="K344" s="13">
        <v>0.15</v>
      </c>
      <c r="L344" s="12">
        <v>254.1</v>
      </c>
      <c r="M344" s="12">
        <f t="shared" si="27"/>
        <v>617.1</v>
      </c>
      <c r="N344" s="14">
        <f t="shared" si="28"/>
        <v>108.90000000000003</v>
      </c>
      <c r="O344" s="14" t="str">
        <f t="shared" si="29"/>
        <v>F</v>
      </c>
    </row>
    <row r="345" spans="1:15" ht="14.4" x14ac:dyDescent="0.3">
      <c r="A345" s="10">
        <v>45498</v>
      </c>
      <c r="B345" s="11" t="str">
        <f t="shared" si="25"/>
        <v>2024</v>
      </c>
      <c r="C345" s="11" t="str">
        <f t="shared" si="26"/>
        <v>Jul</v>
      </c>
      <c r="D345" s="12">
        <v>1182</v>
      </c>
      <c r="E345" s="12" t="s">
        <v>35</v>
      </c>
      <c r="F345" s="12" t="s">
        <v>20</v>
      </c>
      <c r="G345" s="12" t="s">
        <v>25</v>
      </c>
      <c r="H345" s="12" t="s">
        <v>22</v>
      </c>
      <c r="I345" s="12">
        <v>3</v>
      </c>
      <c r="J345" s="12">
        <v>220</v>
      </c>
      <c r="K345" s="13">
        <v>0</v>
      </c>
      <c r="L345" s="12">
        <v>154</v>
      </c>
      <c r="M345" s="12">
        <f t="shared" si="27"/>
        <v>660</v>
      </c>
      <c r="N345" s="14">
        <f t="shared" si="28"/>
        <v>198</v>
      </c>
      <c r="O345" s="14" t="str">
        <f t="shared" si="29"/>
        <v>F</v>
      </c>
    </row>
    <row r="346" spans="1:15" ht="14.4" x14ac:dyDescent="0.3">
      <c r="A346" s="10">
        <v>45498</v>
      </c>
      <c r="B346" s="11" t="str">
        <f t="shared" si="25"/>
        <v>2024</v>
      </c>
      <c r="C346" s="11" t="str">
        <f t="shared" si="26"/>
        <v>Jul</v>
      </c>
      <c r="D346" s="12">
        <v>1443</v>
      </c>
      <c r="E346" s="12" t="s">
        <v>30</v>
      </c>
      <c r="F346" s="12" t="s">
        <v>20</v>
      </c>
      <c r="G346" s="12" t="s">
        <v>33</v>
      </c>
      <c r="H346" s="12" t="s">
        <v>31</v>
      </c>
      <c r="I346" s="12">
        <v>6</v>
      </c>
      <c r="J346" s="12">
        <v>223</v>
      </c>
      <c r="K346" s="13">
        <v>0.1</v>
      </c>
      <c r="L346" s="12">
        <v>156.1</v>
      </c>
      <c r="M346" s="12">
        <f t="shared" si="27"/>
        <v>1204.2</v>
      </c>
      <c r="N346" s="14">
        <f t="shared" si="28"/>
        <v>267.60000000000014</v>
      </c>
      <c r="O346" s="14" t="str">
        <f t="shared" si="29"/>
        <v>F</v>
      </c>
    </row>
    <row r="347" spans="1:15" ht="14.4" x14ac:dyDescent="0.3">
      <c r="A347" s="10">
        <v>45497</v>
      </c>
      <c r="B347" s="11" t="str">
        <f t="shared" si="25"/>
        <v>2024</v>
      </c>
      <c r="C347" s="11" t="str">
        <f t="shared" si="26"/>
        <v>Jul</v>
      </c>
      <c r="D347" s="12">
        <v>1355</v>
      </c>
      <c r="E347" s="12" t="s">
        <v>23</v>
      </c>
      <c r="F347" s="12" t="s">
        <v>20</v>
      </c>
      <c r="G347" s="12" t="s">
        <v>34</v>
      </c>
      <c r="H347" s="12" t="s">
        <v>29</v>
      </c>
      <c r="I347" s="12">
        <v>2</v>
      </c>
      <c r="J347" s="12">
        <v>202</v>
      </c>
      <c r="K347" s="13">
        <v>0.2</v>
      </c>
      <c r="L347" s="12">
        <v>141.4</v>
      </c>
      <c r="M347" s="12">
        <f t="shared" si="27"/>
        <v>323.20000000000005</v>
      </c>
      <c r="N347" s="14">
        <f t="shared" si="28"/>
        <v>40.400000000000034</v>
      </c>
      <c r="O347" s="14" t="str">
        <f t="shared" si="29"/>
        <v>F</v>
      </c>
    </row>
    <row r="348" spans="1:15" ht="14.4" x14ac:dyDescent="0.3">
      <c r="A348" s="10">
        <v>45496</v>
      </c>
      <c r="B348" s="11" t="str">
        <f t="shared" si="25"/>
        <v>2024</v>
      </c>
      <c r="C348" s="11" t="str">
        <f t="shared" si="26"/>
        <v>Jul</v>
      </c>
      <c r="D348" s="12">
        <v>1025</v>
      </c>
      <c r="E348" s="12" t="s">
        <v>35</v>
      </c>
      <c r="F348" s="12" t="s">
        <v>20</v>
      </c>
      <c r="G348" s="12" t="s">
        <v>33</v>
      </c>
      <c r="H348" s="12" t="s">
        <v>29</v>
      </c>
      <c r="I348" s="12">
        <v>10</v>
      </c>
      <c r="J348" s="12">
        <v>435</v>
      </c>
      <c r="K348" s="13">
        <v>0.05</v>
      </c>
      <c r="L348" s="12">
        <v>304.5</v>
      </c>
      <c r="M348" s="12">
        <f t="shared" si="27"/>
        <v>4132.5</v>
      </c>
      <c r="N348" s="14">
        <f t="shared" si="28"/>
        <v>1087.5</v>
      </c>
      <c r="O348" s="14" t="str">
        <f t="shared" si="29"/>
        <v>F</v>
      </c>
    </row>
    <row r="349" spans="1:15" ht="14.4" x14ac:dyDescent="0.3">
      <c r="A349" s="10">
        <v>45496</v>
      </c>
      <c r="B349" s="11" t="str">
        <f t="shared" si="25"/>
        <v>2024</v>
      </c>
      <c r="C349" s="11" t="str">
        <f t="shared" si="26"/>
        <v>Jul</v>
      </c>
      <c r="D349" s="12">
        <v>1004</v>
      </c>
      <c r="E349" s="12" t="s">
        <v>19</v>
      </c>
      <c r="F349" s="12" t="s">
        <v>38</v>
      </c>
      <c r="G349" s="12" t="s">
        <v>33</v>
      </c>
      <c r="H349" s="12" t="s">
        <v>26</v>
      </c>
      <c r="I349" s="12">
        <v>10</v>
      </c>
      <c r="J349" s="12">
        <v>320</v>
      </c>
      <c r="K349" s="13">
        <v>0.25</v>
      </c>
      <c r="L349" s="12">
        <v>224</v>
      </c>
      <c r="M349" s="12">
        <f t="shared" si="27"/>
        <v>2400</v>
      </c>
      <c r="N349" s="14">
        <f t="shared" si="28"/>
        <v>160</v>
      </c>
      <c r="O349" s="14" t="str">
        <f t="shared" si="29"/>
        <v>F</v>
      </c>
    </row>
    <row r="350" spans="1:15" ht="14.4" x14ac:dyDescent="0.3">
      <c r="A350" s="10">
        <v>45496</v>
      </c>
      <c r="B350" s="11" t="str">
        <f t="shared" si="25"/>
        <v>2024</v>
      </c>
      <c r="C350" s="11" t="str">
        <f t="shared" si="26"/>
        <v>Jul</v>
      </c>
      <c r="D350" s="12">
        <v>1106</v>
      </c>
      <c r="E350" s="12" t="s">
        <v>37</v>
      </c>
      <c r="F350" s="12" t="s">
        <v>16</v>
      </c>
      <c r="G350" s="12" t="s">
        <v>17</v>
      </c>
      <c r="H350" s="12" t="s">
        <v>22</v>
      </c>
      <c r="I350" s="12">
        <v>10</v>
      </c>
      <c r="J350" s="12">
        <v>329</v>
      </c>
      <c r="K350" s="13">
        <v>0</v>
      </c>
      <c r="L350" s="12">
        <v>230.3</v>
      </c>
      <c r="M350" s="12">
        <f t="shared" si="27"/>
        <v>3290</v>
      </c>
      <c r="N350" s="14">
        <f t="shared" si="28"/>
        <v>987</v>
      </c>
      <c r="O350" s="14" t="str">
        <f t="shared" si="29"/>
        <v>F</v>
      </c>
    </row>
    <row r="351" spans="1:15" ht="14.4" x14ac:dyDescent="0.3">
      <c r="A351" s="10">
        <v>45493</v>
      </c>
      <c r="B351" s="11" t="str">
        <f t="shared" si="25"/>
        <v>2024</v>
      </c>
      <c r="C351" s="11" t="str">
        <f t="shared" si="26"/>
        <v>Jul</v>
      </c>
      <c r="D351" s="12">
        <v>1440</v>
      </c>
      <c r="E351" s="12" t="s">
        <v>30</v>
      </c>
      <c r="F351" s="12" t="s">
        <v>24</v>
      </c>
      <c r="G351" s="12" t="s">
        <v>33</v>
      </c>
      <c r="H351" s="12" t="s">
        <v>22</v>
      </c>
      <c r="I351" s="12">
        <v>1</v>
      </c>
      <c r="J351" s="12">
        <v>107</v>
      </c>
      <c r="K351" s="13">
        <v>0</v>
      </c>
      <c r="L351" s="12">
        <v>74.899999999999991</v>
      </c>
      <c r="M351" s="12">
        <f t="shared" si="27"/>
        <v>107</v>
      </c>
      <c r="N351" s="14">
        <f t="shared" si="28"/>
        <v>32.100000000000009</v>
      </c>
      <c r="O351" s="14" t="str">
        <f t="shared" si="29"/>
        <v>F</v>
      </c>
    </row>
    <row r="352" spans="1:15" ht="14.4" x14ac:dyDescent="0.3">
      <c r="A352" s="10">
        <v>45492</v>
      </c>
      <c r="B352" s="11" t="str">
        <f t="shared" si="25"/>
        <v>2024</v>
      </c>
      <c r="C352" s="11" t="str">
        <f t="shared" si="26"/>
        <v>Jul</v>
      </c>
      <c r="D352" s="12">
        <v>1082</v>
      </c>
      <c r="E352" s="12" t="s">
        <v>42</v>
      </c>
      <c r="F352" s="12" t="s">
        <v>38</v>
      </c>
      <c r="G352" s="12" t="s">
        <v>21</v>
      </c>
      <c r="H352" s="12" t="s">
        <v>18</v>
      </c>
      <c r="I352" s="12">
        <v>3</v>
      </c>
      <c r="J352" s="12">
        <v>155</v>
      </c>
      <c r="K352" s="13">
        <v>0.2</v>
      </c>
      <c r="L352" s="12">
        <v>108.5</v>
      </c>
      <c r="M352" s="12">
        <f t="shared" si="27"/>
        <v>372</v>
      </c>
      <c r="N352" s="14">
        <f t="shared" si="28"/>
        <v>46.5</v>
      </c>
      <c r="O352" s="14" t="str">
        <f t="shared" si="29"/>
        <v>F</v>
      </c>
    </row>
    <row r="353" spans="1:15" ht="14.4" x14ac:dyDescent="0.3">
      <c r="A353" s="10">
        <v>45490</v>
      </c>
      <c r="B353" s="11" t="str">
        <f t="shared" si="25"/>
        <v>2024</v>
      </c>
      <c r="C353" s="11" t="str">
        <f t="shared" si="26"/>
        <v>Jul</v>
      </c>
      <c r="D353" s="12">
        <v>1360</v>
      </c>
      <c r="E353" s="12" t="s">
        <v>37</v>
      </c>
      <c r="F353" s="12" t="s">
        <v>20</v>
      </c>
      <c r="G353" s="12" t="s">
        <v>33</v>
      </c>
      <c r="H353" s="12" t="s">
        <v>26</v>
      </c>
      <c r="I353" s="12">
        <v>5</v>
      </c>
      <c r="J353" s="12">
        <v>387</v>
      </c>
      <c r="K353" s="13">
        <v>0.05</v>
      </c>
      <c r="L353" s="12">
        <v>270.89999999999998</v>
      </c>
      <c r="M353" s="12">
        <f t="shared" si="27"/>
        <v>1838.25</v>
      </c>
      <c r="N353" s="14">
        <f t="shared" si="28"/>
        <v>483.75</v>
      </c>
      <c r="O353" s="14" t="str">
        <f t="shared" si="29"/>
        <v>F</v>
      </c>
    </row>
    <row r="354" spans="1:15" ht="14.4" x14ac:dyDescent="0.3">
      <c r="A354" s="10">
        <v>45489</v>
      </c>
      <c r="B354" s="11" t="str">
        <f t="shared" si="25"/>
        <v>2024</v>
      </c>
      <c r="C354" s="11" t="str">
        <f t="shared" si="26"/>
        <v>Jul</v>
      </c>
      <c r="D354" s="12">
        <v>1256</v>
      </c>
      <c r="E354" s="12" t="s">
        <v>15</v>
      </c>
      <c r="F354" s="12" t="s">
        <v>16</v>
      </c>
      <c r="G354" s="12" t="s">
        <v>33</v>
      </c>
      <c r="H354" s="12" t="s">
        <v>41</v>
      </c>
      <c r="I354" s="12">
        <v>5</v>
      </c>
      <c r="J354" s="12">
        <v>273</v>
      </c>
      <c r="K354" s="13">
        <v>0</v>
      </c>
      <c r="L354" s="12">
        <v>191.1</v>
      </c>
      <c r="M354" s="12">
        <f t="shared" si="27"/>
        <v>1365</v>
      </c>
      <c r="N354" s="14">
        <f t="shared" si="28"/>
        <v>409.5</v>
      </c>
      <c r="O354" s="14" t="str">
        <f t="shared" si="29"/>
        <v>F</v>
      </c>
    </row>
    <row r="355" spans="1:15" ht="14.4" x14ac:dyDescent="0.3">
      <c r="A355" s="10">
        <v>45487</v>
      </c>
      <c r="B355" s="11" t="str">
        <f t="shared" si="25"/>
        <v>2024</v>
      </c>
      <c r="C355" s="11" t="str">
        <f t="shared" si="26"/>
        <v>Jul</v>
      </c>
      <c r="D355" s="12">
        <v>1179</v>
      </c>
      <c r="E355" s="12" t="s">
        <v>27</v>
      </c>
      <c r="F355" s="12" t="s">
        <v>20</v>
      </c>
      <c r="G355" s="12" t="s">
        <v>28</v>
      </c>
      <c r="H355" s="12" t="s">
        <v>40</v>
      </c>
      <c r="I355" s="12">
        <v>2</v>
      </c>
      <c r="J355" s="12">
        <v>280</v>
      </c>
      <c r="K355" s="13">
        <v>0.25</v>
      </c>
      <c r="L355" s="12">
        <v>196</v>
      </c>
      <c r="M355" s="12">
        <f t="shared" si="27"/>
        <v>420</v>
      </c>
      <c r="N355" s="14">
        <f t="shared" si="28"/>
        <v>28</v>
      </c>
      <c r="O355" s="14" t="str">
        <f t="shared" si="29"/>
        <v>F</v>
      </c>
    </row>
    <row r="356" spans="1:15" ht="14.4" x14ac:dyDescent="0.3">
      <c r="A356" s="10">
        <v>45487</v>
      </c>
      <c r="B356" s="11" t="str">
        <f t="shared" si="25"/>
        <v>2024</v>
      </c>
      <c r="C356" s="11" t="str">
        <f t="shared" si="26"/>
        <v>Jul</v>
      </c>
      <c r="D356" s="12">
        <v>1044</v>
      </c>
      <c r="E356" s="12" t="s">
        <v>23</v>
      </c>
      <c r="F356" s="12" t="s">
        <v>16</v>
      </c>
      <c r="G356" s="12" t="s">
        <v>17</v>
      </c>
      <c r="H356" s="12" t="s">
        <v>29</v>
      </c>
      <c r="I356" s="12">
        <v>6</v>
      </c>
      <c r="J356" s="12">
        <v>100</v>
      </c>
      <c r="K356" s="13">
        <v>0.15</v>
      </c>
      <c r="L356" s="12">
        <v>70</v>
      </c>
      <c r="M356" s="12">
        <f t="shared" si="27"/>
        <v>510</v>
      </c>
      <c r="N356" s="14">
        <f t="shared" si="28"/>
        <v>90</v>
      </c>
      <c r="O356" s="14" t="str">
        <f t="shared" si="29"/>
        <v>F</v>
      </c>
    </row>
    <row r="357" spans="1:15" ht="14.4" x14ac:dyDescent="0.3">
      <c r="A357" s="10">
        <v>45483</v>
      </c>
      <c r="B357" s="11" t="str">
        <f t="shared" si="25"/>
        <v>2024</v>
      </c>
      <c r="C357" s="11" t="str">
        <f t="shared" si="26"/>
        <v>Jul</v>
      </c>
      <c r="D357" s="12">
        <v>1361</v>
      </c>
      <c r="E357" s="12" t="s">
        <v>32</v>
      </c>
      <c r="F357" s="12" t="s">
        <v>20</v>
      </c>
      <c r="G357" s="12" t="s">
        <v>34</v>
      </c>
      <c r="H357" s="12" t="s">
        <v>18</v>
      </c>
      <c r="I357" s="12">
        <v>3</v>
      </c>
      <c r="J357" s="12">
        <v>243</v>
      </c>
      <c r="K357" s="13">
        <v>0.15</v>
      </c>
      <c r="L357" s="12">
        <v>170.1</v>
      </c>
      <c r="M357" s="12">
        <f t="shared" si="27"/>
        <v>619.65</v>
      </c>
      <c r="N357" s="14">
        <f t="shared" si="28"/>
        <v>109.35000000000002</v>
      </c>
      <c r="O357" s="14" t="str">
        <f t="shared" si="29"/>
        <v>F</v>
      </c>
    </row>
    <row r="358" spans="1:15" ht="14.4" x14ac:dyDescent="0.3">
      <c r="A358" s="10">
        <v>45483</v>
      </c>
      <c r="B358" s="11" t="str">
        <f t="shared" si="25"/>
        <v>2024</v>
      </c>
      <c r="C358" s="11" t="str">
        <f t="shared" si="26"/>
        <v>Jul</v>
      </c>
      <c r="D358" s="12">
        <v>1472</v>
      </c>
      <c r="E358" s="12" t="s">
        <v>30</v>
      </c>
      <c r="F358" s="12" t="s">
        <v>16</v>
      </c>
      <c r="G358" s="12" t="s">
        <v>25</v>
      </c>
      <c r="H358" s="12" t="s">
        <v>40</v>
      </c>
      <c r="I358" s="12">
        <v>8</v>
      </c>
      <c r="J358" s="12">
        <v>362</v>
      </c>
      <c r="K358" s="13">
        <v>0.3</v>
      </c>
      <c r="L358" s="12">
        <v>253.4</v>
      </c>
      <c r="M358" s="12">
        <f t="shared" si="27"/>
        <v>2027.1999999999998</v>
      </c>
      <c r="N358" s="14">
        <f t="shared" si="28"/>
        <v>0</v>
      </c>
      <c r="O358" s="14" t="str">
        <f t="shared" si="29"/>
        <v>F</v>
      </c>
    </row>
    <row r="359" spans="1:15" ht="14.4" x14ac:dyDescent="0.3">
      <c r="A359" s="10">
        <v>45482</v>
      </c>
      <c r="B359" s="11" t="str">
        <f t="shared" si="25"/>
        <v>2024</v>
      </c>
      <c r="C359" s="11" t="str">
        <f t="shared" si="26"/>
        <v>Jul</v>
      </c>
      <c r="D359" s="12">
        <v>1363</v>
      </c>
      <c r="E359" s="12" t="s">
        <v>35</v>
      </c>
      <c r="F359" s="12" t="s">
        <v>38</v>
      </c>
      <c r="G359" s="12" t="s">
        <v>34</v>
      </c>
      <c r="H359" s="12" t="s">
        <v>18</v>
      </c>
      <c r="I359" s="12">
        <v>1</v>
      </c>
      <c r="J359" s="12">
        <v>212</v>
      </c>
      <c r="K359" s="13">
        <v>0.15</v>
      </c>
      <c r="L359" s="12">
        <v>148.4</v>
      </c>
      <c r="M359" s="12">
        <f t="shared" si="27"/>
        <v>180.2</v>
      </c>
      <c r="N359" s="14">
        <f t="shared" si="28"/>
        <v>31.799999999999983</v>
      </c>
      <c r="O359" s="14" t="str">
        <f t="shared" si="29"/>
        <v>F</v>
      </c>
    </row>
    <row r="360" spans="1:15" ht="14.4" x14ac:dyDescent="0.3">
      <c r="A360" s="10">
        <v>45481</v>
      </c>
      <c r="B360" s="11" t="str">
        <f t="shared" si="25"/>
        <v>2024</v>
      </c>
      <c r="C360" s="11" t="str">
        <f t="shared" si="26"/>
        <v>Jul</v>
      </c>
      <c r="D360" s="12">
        <v>1392</v>
      </c>
      <c r="E360" s="12" t="s">
        <v>19</v>
      </c>
      <c r="F360" s="12" t="s">
        <v>38</v>
      </c>
      <c r="G360" s="12" t="s">
        <v>33</v>
      </c>
      <c r="H360" s="12" t="s">
        <v>18</v>
      </c>
      <c r="I360" s="12">
        <v>5</v>
      </c>
      <c r="J360" s="12">
        <v>487</v>
      </c>
      <c r="K360" s="13">
        <v>0.05</v>
      </c>
      <c r="L360" s="12">
        <v>340.9</v>
      </c>
      <c r="M360" s="12">
        <f t="shared" si="27"/>
        <v>2313.25</v>
      </c>
      <c r="N360" s="14">
        <f t="shared" si="28"/>
        <v>608.75</v>
      </c>
      <c r="O360" s="14" t="str">
        <f t="shared" si="29"/>
        <v>F</v>
      </c>
    </row>
    <row r="361" spans="1:15" ht="14.4" x14ac:dyDescent="0.3">
      <c r="A361" s="10">
        <v>45478</v>
      </c>
      <c r="B361" s="11" t="str">
        <f t="shared" si="25"/>
        <v>2024</v>
      </c>
      <c r="C361" s="11" t="str">
        <f t="shared" si="26"/>
        <v>Jul</v>
      </c>
      <c r="D361" s="12">
        <v>1143</v>
      </c>
      <c r="E361" s="12" t="s">
        <v>27</v>
      </c>
      <c r="F361" s="12" t="s">
        <v>38</v>
      </c>
      <c r="G361" s="12" t="s">
        <v>28</v>
      </c>
      <c r="H361" s="12" t="s">
        <v>26</v>
      </c>
      <c r="I361" s="12">
        <v>2</v>
      </c>
      <c r="J361" s="12">
        <v>111</v>
      </c>
      <c r="K361" s="13">
        <v>0.3</v>
      </c>
      <c r="L361" s="12">
        <v>77.699999999999989</v>
      </c>
      <c r="M361" s="12">
        <f t="shared" si="27"/>
        <v>155.39999999999998</v>
      </c>
      <c r="N361" s="14">
        <f t="shared" si="28"/>
        <v>0</v>
      </c>
      <c r="O361" s="14" t="str">
        <f t="shared" si="29"/>
        <v>F</v>
      </c>
    </row>
    <row r="362" spans="1:15" ht="14.4" x14ac:dyDescent="0.3">
      <c r="A362" s="10">
        <v>45475</v>
      </c>
      <c r="B362" s="11" t="str">
        <f t="shared" si="25"/>
        <v>2024</v>
      </c>
      <c r="C362" s="11" t="str">
        <f t="shared" si="26"/>
        <v>Jul</v>
      </c>
      <c r="D362" s="12">
        <v>1069</v>
      </c>
      <c r="E362" s="12" t="s">
        <v>27</v>
      </c>
      <c r="F362" s="12" t="s">
        <v>20</v>
      </c>
      <c r="G362" s="12" t="s">
        <v>17</v>
      </c>
      <c r="H362" s="12" t="s">
        <v>41</v>
      </c>
      <c r="I362" s="12">
        <v>10</v>
      </c>
      <c r="J362" s="12">
        <v>477</v>
      </c>
      <c r="K362" s="13">
        <v>0.2</v>
      </c>
      <c r="L362" s="12">
        <v>333.9</v>
      </c>
      <c r="M362" s="12">
        <f t="shared" si="27"/>
        <v>3816</v>
      </c>
      <c r="N362" s="14">
        <f t="shared" si="28"/>
        <v>477</v>
      </c>
      <c r="O362" s="14" t="str">
        <f t="shared" si="29"/>
        <v>F</v>
      </c>
    </row>
    <row r="363" spans="1:15" ht="14.4" x14ac:dyDescent="0.3">
      <c r="A363" s="10">
        <v>45471</v>
      </c>
      <c r="B363" s="11" t="str">
        <f t="shared" si="25"/>
        <v>2024</v>
      </c>
      <c r="C363" s="11" t="str">
        <f t="shared" si="26"/>
        <v>Jun</v>
      </c>
      <c r="D363" s="12">
        <v>1202</v>
      </c>
      <c r="E363" s="12" t="s">
        <v>23</v>
      </c>
      <c r="F363" s="12" t="s">
        <v>24</v>
      </c>
      <c r="G363" s="12" t="s">
        <v>33</v>
      </c>
      <c r="H363" s="12" t="s">
        <v>31</v>
      </c>
      <c r="I363" s="12">
        <v>9</v>
      </c>
      <c r="J363" s="12">
        <v>389</v>
      </c>
      <c r="K363" s="13">
        <v>0.2</v>
      </c>
      <c r="L363" s="12">
        <v>272.3</v>
      </c>
      <c r="M363" s="12">
        <f t="shared" si="27"/>
        <v>2800.8</v>
      </c>
      <c r="N363" s="14">
        <f t="shared" si="28"/>
        <v>350.09999999999991</v>
      </c>
      <c r="O363" s="14" t="str">
        <f t="shared" si="29"/>
        <v>F</v>
      </c>
    </row>
    <row r="364" spans="1:15" ht="14.4" x14ac:dyDescent="0.3">
      <c r="A364" s="10">
        <v>45471</v>
      </c>
      <c r="B364" s="11" t="str">
        <f t="shared" si="25"/>
        <v>2024</v>
      </c>
      <c r="C364" s="11" t="str">
        <f t="shared" si="26"/>
        <v>Jun</v>
      </c>
      <c r="D364" s="12">
        <v>1461</v>
      </c>
      <c r="E364" s="12" t="s">
        <v>19</v>
      </c>
      <c r="F364" s="12" t="s">
        <v>16</v>
      </c>
      <c r="G364" s="12" t="s">
        <v>34</v>
      </c>
      <c r="H364" s="12" t="s">
        <v>31</v>
      </c>
      <c r="I364" s="12">
        <v>8</v>
      </c>
      <c r="J364" s="12">
        <v>88</v>
      </c>
      <c r="K364" s="13">
        <v>0.05</v>
      </c>
      <c r="L364" s="12">
        <v>61.599999999999987</v>
      </c>
      <c r="M364" s="12">
        <f t="shared" si="27"/>
        <v>668.8</v>
      </c>
      <c r="N364" s="14">
        <f t="shared" si="28"/>
        <v>176.00000000000006</v>
      </c>
      <c r="O364" s="14" t="str">
        <f t="shared" si="29"/>
        <v>F</v>
      </c>
    </row>
    <row r="365" spans="1:15" ht="14.4" x14ac:dyDescent="0.3">
      <c r="A365" s="10">
        <v>45468</v>
      </c>
      <c r="B365" s="11" t="str">
        <f t="shared" si="25"/>
        <v>2024</v>
      </c>
      <c r="C365" s="11" t="str">
        <f t="shared" si="26"/>
        <v>Jun</v>
      </c>
      <c r="D365" s="12">
        <v>1013</v>
      </c>
      <c r="E365" s="12" t="s">
        <v>19</v>
      </c>
      <c r="F365" s="12" t="s">
        <v>16</v>
      </c>
      <c r="G365" s="12" t="s">
        <v>33</v>
      </c>
      <c r="H365" s="12" t="s">
        <v>26</v>
      </c>
      <c r="I365" s="12">
        <v>7</v>
      </c>
      <c r="J365" s="12">
        <v>137</v>
      </c>
      <c r="K365" s="13">
        <v>0.2</v>
      </c>
      <c r="L365" s="12">
        <v>95.899999999999991</v>
      </c>
      <c r="M365" s="12">
        <f t="shared" si="27"/>
        <v>767.2</v>
      </c>
      <c r="N365" s="14">
        <f t="shared" si="28"/>
        <v>95.900000000000091</v>
      </c>
      <c r="O365" s="14" t="str">
        <f t="shared" si="29"/>
        <v>F</v>
      </c>
    </row>
    <row r="366" spans="1:15" ht="14.4" x14ac:dyDescent="0.3">
      <c r="A366" s="10">
        <v>45463</v>
      </c>
      <c r="B366" s="11" t="str">
        <f t="shared" si="25"/>
        <v>2024</v>
      </c>
      <c r="C366" s="11" t="str">
        <f t="shared" si="26"/>
        <v>Jun</v>
      </c>
      <c r="D366" s="12">
        <v>1168</v>
      </c>
      <c r="E366" s="12" t="s">
        <v>23</v>
      </c>
      <c r="F366" s="12" t="s">
        <v>24</v>
      </c>
      <c r="G366" s="12" t="s">
        <v>17</v>
      </c>
      <c r="H366" s="12" t="s">
        <v>36</v>
      </c>
      <c r="I366" s="12">
        <v>1</v>
      </c>
      <c r="J366" s="12">
        <v>429</v>
      </c>
      <c r="K366" s="13">
        <v>0.05</v>
      </c>
      <c r="L366" s="12">
        <v>300.3</v>
      </c>
      <c r="M366" s="12">
        <f t="shared" si="27"/>
        <v>407.54999999999995</v>
      </c>
      <c r="N366" s="14">
        <f t="shared" si="28"/>
        <v>107.24999999999994</v>
      </c>
      <c r="O366" s="14" t="str">
        <f t="shared" si="29"/>
        <v>F</v>
      </c>
    </row>
    <row r="367" spans="1:15" ht="14.4" x14ac:dyDescent="0.3">
      <c r="A367" s="10">
        <v>45463</v>
      </c>
      <c r="B367" s="11" t="str">
        <f t="shared" si="25"/>
        <v>2024</v>
      </c>
      <c r="C367" s="11" t="str">
        <f t="shared" si="26"/>
        <v>Jun</v>
      </c>
      <c r="D367" s="12">
        <v>1452</v>
      </c>
      <c r="E367" s="12" t="s">
        <v>27</v>
      </c>
      <c r="F367" s="12" t="s">
        <v>24</v>
      </c>
      <c r="G367" s="12" t="s">
        <v>25</v>
      </c>
      <c r="H367" s="12" t="s">
        <v>31</v>
      </c>
      <c r="I367" s="12">
        <v>6</v>
      </c>
      <c r="J367" s="12">
        <v>204</v>
      </c>
      <c r="K367" s="13">
        <v>0.3</v>
      </c>
      <c r="L367" s="12">
        <v>142.80000000000001</v>
      </c>
      <c r="M367" s="12">
        <f t="shared" si="27"/>
        <v>856.8</v>
      </c>
      <c r="N367" s="14">
        <f t="shared" si="28"/>
        <v>0</v>
      </c>
      <c r="O367" s="14" t="str">
        <f t="shared" si="29"/>
        <v>F</v>
      </c>
    </row>
    <row r="368" spans="1:15" ht="14.4" x14ac:dyDescent="0.3">
      <c r="A368" s="10">
        <v>45462</v>
      </c>
      <c r="B368" s="11" t="str">
        <f t="shared" si="25"/>
        <v>2024</v>
      </c>
      <c r="C368" s="11" t="str">
        <f t="shared" si="26"/>
        <v>Jun</v>
      </c>
      <c r="D368" s="12">
        <v>1029</v>
      </c>
      <c r="E368" s="12" t="s">
        <v>23</v>
      </c>
      <c r="F368" s="12" t="s">
        <v>38</v>
      </c>
      <c r="G368" s="12" t="s">
        <v>33</v>
      </c>
      <c r="H368" s="12" t="s">
        <v>18</v>
      </c>
      <c r="I368" s="12">
        <v>5</v>
      </c>
      <c r="J368" s="12">
        <v>210</v>
      </c>
      <c r="K368" s="13">
        <v>0.1</v>
      </c>
      <c r="L368" s="12">
        <v>147</v>
      </c>
      <c r="M368" s="12">
        <f t="shared" si="27"/>
        <v>945</v>
      </c>
      <c r="N368" s="14">
        <f t="shared" si="28"/>
        <v>210</v>
      </c>
      <c r="O368" s="14" t="str">
        <f t="shared" si="29"/>
        <v>F</v>
      </c>
    </row>
    <row r="369" spans="1:15" ht="14.4" x14ac:dyDescent="0.3">
      <c r="A369" s="10">
        <v>45462</v>
      </c>
      <c r="B369" s="11" t="str">
        <f t="shared" si="25"/>
        <v>2024</v>
      </c>
      <c r="C369" s="11" t="str">
        <f t="shared" si="26"/>
        <v>Jun</v>
      </c>
      <c r="D369" s="12">
        <v>1096</v>
      </c>
      <c r="E369" s="12" t="s">
        <v>30</v>
      </c>
      <c r="F369" s="12" t="s">
        <v>16</v>
      </c>
      <c r="G369" s="12" t="s">
        <v>25</v>
      </c>
      <c r="H369" s="12" t="s">
        <v>29</v>
      </c>
      <c r="I369" s="12">
        <v>7</v>
      </c>
      <c r="J369" s="12">
        <v>264</v>
      </c>
      <c r="K369" s="13">
        <v>0.25</v>
      </c>
      <c r="L369" s="12">
        <v>184.8</v>
      </c>
      <c r="M369" s="12">
        <f t="shared" si="27"/>
        <v>1386</v>
      </c>
      <c r="N369" s="14">
        <f t="shared" si="28"/>
        <v>92.399999999999864</v>
      </c>
      <c r="O369" s="14" t="str">
        <f t="shared" si="29"/>
        <v>F</v>
      </c>
    </row>
    <row r="370" spans="1:15" ht="14.4" x14ac:dyDescent="0.3">
      <c r="A370" s="10">
        <v>45462</v>
      </c>
      <c r="B370" s="11" t="str">
        <f t="shared" si="25"/>
        <v>2024</v>
      </c>
      <c r="C370" s="11" t="str">
        <f t="shared" si="26"/>
        <v>Jun</v>
      </c>
      <c r="D370" s="12">
        <v>1259</v>
      </c>
      <c r="E370" s="12" t="s">
        <v>30</v>
      </c>
      <c r="F370" s="12" t="s">
        <v>24</v>
      </c>
      <c r="G370" s="12" t="s">
        <v>21</v>
      </c>
      <c r="H370" s="12" t="s">
        <v>36</v>
      </c>
      <c r="I370" s="12">
        <v>4</v>
      </c>
      <c r="J370" s="12">
        <v>452</v>
      </c>
      <c r="K370" s="13">
        <v>0.05</v>
      </c>
      <c r="L370" s="12">
        <v>316.39999999999998</v>
      </c>
      <c r="M370" s="12">
        <f t="shared" si="27"/>
        <v>1717.6</v>
      </c>
      <c r="N370" s="14">
        <f t="shared" si="28"/>
        <v>452</v>
      </c>
      <c r="O370" s="14" t="str">
        <f t="shared" si="29"/>
        <v>F</v>
      </c>
    </row>
    <row r="371" spans="1:15" ht="14.4" x14ac:dyDescent="0.3">
      <c r="A371" s="10">
        <v>45459</v>
      </c>
      <c r="B371" s="11" t="str">
        <f t="shared" si="25"/>
        <v>2024</v>
      </c>
      <c r="C371" s="11" t="str">
        <f t="shared" si="26"/>
        <v>Jun</v>
      </c>
      <c r="D371" s="12">
        <v>1063</v>
      </c>
      <c r="E371" s="12" t="s">
        <v>35</v>
      </c>
      <c r="F371" s="12" t="s">
        <v>38</v>
      </c>
      <c r="G371" s="12" t="s">
        <v>17</v>
      </c>
      <c r="H371" s="12" t="s">
        <v>40</v>
      </c>
      <c r="I371" s="12">
        <v>6</v>
      </c>
      <c r="J371" s="12">
        <v>102</v>
      </c>
      <c r="K371" s="13">
        <v>0.2</v>
      </c>
      <c r="L371" s="12">
        <v>71.399999999999991</v>
      </c>
      <c r="M371" s="12">
        <f t="shared" si="27"/>
        <v>489.6</v>
      </c>
      <c r="N371" s="14">
        <f t="shared" si="28"/>
        <v>61.200000000000045</v>
      </c>
      <c r="O371" s="14" t="str">
        <f t="shared" si="29"/>
        <v>F</v>
      </c>
    </row>
    <row r="372" spans="1:15" ht="14.4" x14ac:dyDescent="0.3">
      <c r="A372" s="10">
        <v>45457</v>
      </c>
      <c r="B372" s="11" t="str">
        <f t="shared" si="25"/>
        <v>2024</v>
      </c>
      <c r="C372" s="11" t="str">
        <f t="shared" si="26"/>
        <v>Jun</v>
      </c>
      <c r="D372" s="12">
        <v>1145</v>
      </c>
      <c r="E372" s="12" t="s">
        <v>39</v>
      </c>
      <c r="F372" s="12" t="s">
        <v>38</v>
      </c>
      <c r="G372" s="12" t="s">
        <v>28</v>
      </c>
      <c r="H372" s="12" t="s">
        <v>26</v>
      </c>
      <c r="I372" s="12">
        <v>5</v>
      </c>
      <c r="J372" s="12">
        <v>342</v>
      </c>
      <c r="K372" s="13">
        <v>0.05</v>
      </c>
      <c r="L372" s="12">
        <v>239.4</v>
      </c>
      <c r="M372" s="12">
        <f t="shared" si="27"/>
        <v>1624.5</v>
      </c>
      <c r="N372" s="14">
        <f t="shared" si="28"/>
        <v>427.5</v>
      </c>
      <c r="O372" s="14" t="str">
        <f t="shared" si="29"/>
        <v>F</v>
      </c>
    </row>
    <row r="373" spans="1:15" ht="14.4" x14ac:dyDescent="0.3">
      <c r="A373" s="10">
        <v>45456</v>
      </c>
      <c r="B373" s="11" t="str">
        <f t="shared" si="25"/>
        <v>2024</v>
      </c>
      <c r="C373" s="11" t="str">
        <f t="shared" si="26"/>
        <v>Jun</v>
      </c>
      <c r="D373" s="12">
        <v>1323</v>
      </c>
      <c r="E373" s="12" t="s">
        <v>30</v>
      </c>
      <c r="F373" s="12" t="s">
        <v>38</v>
      </c>
      <c r="G373" s="12" t="s">
        <v>21</v>
      </c>
      <c r="H373" s="12" t="s">
        <v>22</v>
      </c>
      <c r="I373" s="12">
        <v>8</v>
      </c>
      <c r="J373" s="12">
        <v>418</v>
      </c>
      <c r="K373" s="13">
        <v>0.3</v>
      </c>
      <c r="L373" s="12">
        <v>292.60000000000002</v>
      </c>
      <c r="M373" s="12">
        <f t="shared" si="27"/>
        <v>2340.7999999999997</v>
      </c>
      <c r="N373" s="14">
        <f t="shared" si="28"/>
        <v>0</v>
      </c>
      <c r="O373" s="14" t="str">
        <f t="shared" si="29"/>
        <v>F</v>
      </c>
    </row>
    <row r="374" spans="1:15" ht="14.4" x14ac:dyDescent="0.3">
      <c r="A374" s="10">
        <v>45454</v>
      </c>
      <c r="B374" s="11" t="str">
        <f t="shared" si="25"/>
        <v>2024</v>
      </c>
      <c r="C374" s="11" t="str">
        <f t="shared" si="26"/>
        <v>Jun</v>
      </c>
      <c r="D374" s="12">
        <v>1317</v>
      </c>
      <c r="E374" s="12" t="s">
        <v>30</v>
      </c>
      <c r="F374" s="12" t="s">
        <v>38</v>
      </c>
      <c r="G374" s="12" t="s">
        <v>21</v>
      </c>
      <c r="H374" s="12" t="s">
        <v>26</v>
      </c>
      <c r="I374" s="12">
        <v>4</v>
      </c>
      <c r="J374" s="12">
        <v>312</v>
      </c>
      <c r="K374" s="13">
        <v>0.25</v>
      </c>
      <c r="L374" s="12">
        <v>218.4</v>
      </c>
      <c r="M374" s="12">
        <f t="shared" si="27"/>
        <v>936</v>
      </c>
      <c r="N374" s="14">
        <f t="shared" si="28"/>
        <v>62.399999999999977</v>
      </c>
      <c r="O374" s="14" t="str">
        <f t="shared" si="29"/>
        <v>F</v>
      </c>
    </row>
    <row r="375" spans="1:15" ht="14.4" x14ac:dyDescent="0.3">
      <c r="A375" s="10">
        <v>45450</v>
      </c>
      <c r="B375" s="11" t="str">
        <f t="shared" si="25"/>
        <v>2024</v>
      </c>
      <c r="C375" s="11" t="str">
        <f t="shared" si="26"/>
        <v>Jun</v>
      </c>
      <c r="D375" s="12">
        <v>1295</v>
      </c>
      <c r="E375" s="12" t="s">
        <v>30</v>
      </c>
      <c r="F375" s="12" t="s">
        <v>20</v>
      </c>
      <c r="G375" s="12" t="s">
        <v>34</v>
      </c>
      <c r="H375" s="12" t="s">
        <v>26</v>
      </c>
      <c r="I375" s="12">
        <v>2</v>
      </c>
      <c r="J375" s="12">
        <v>469</v>
      </c>
      <c r="K375" s="13">
        <v>0.15</v>
      </c>
      <c r="L375" s="12">
        <v>328.3</v>
      </c>
      <c r="M375" s="12">
        <f t="shared" si="27"/>
        <v>797.3</v>
      </c>
      <c r="N375" s="14">
        <f t="shared" si="28"/>
        <v>140.69999999999993</v>
      </c>
      <c r="O375" s="14" t="str">
        <f t="shared" si="29"/>
        <v>F</v>
      </c>
    </row>
    <row r="376" spans="1:15" ht="14.4" x14ac:dyDescent="0.3">
      <c r="A376" s="10">
        <v>45449</v>
      </c>
      <c r="B376" s="11" t="str">
        <f t="shared" si="25"/>
        <v>2024</v>
      </c>
      <c r="C376" s="11" t="str">
        <f t="shared" si="26"/>
        <v>Jun</v>
      </c>
      <c r="D376" s="12">
        <v>1405</v>
      </c>
      <c r="E376" s="12" t="s">
        <v>15</v>
      </c>
      <c r="F376" s="12" t="s">
        <v>20</v>
      </c>
      <c r="G376" s="12" t="s">
        <v>33</v>
      </c>
      <c r="H376" s="12" t="s">
        <v>31</v>
      </c>
      <c r="I376" s="12">
        <v>10</v>
      </c>
      <c r="J376" s="12">
        <v>196</v>
      </c>
      <c r="K376" s="13">
        <v>0.05</v>
      </c>
      <c r="L376" s="12">
        <v>137.19999999999999</v>
      </c>
      <c r="M376" s="12">
        <f t="shared" si="27"/>
        <v>1862</v>
      </c>
      <c r="N376" s="14">
        <f t="shared" si="28"/>
        <v>490</v>
      </c>
      <c r="O376" s="14" t="str">
        <f t="shared" si="29"/>
        <v>F</v>
      </c>
    </row>
    <row r="377" spans="1:15" ht="14.4" x14ac:dyDescent="0.3">
      <c r="A377" s="10">
        <v>45449</v>
      </c>
      <c r="B377" s="11" t="str">
        <f t="shared" si="25"/>
        <v>2024</v>
      </c>
      <c r="C377" s="11" t="str">
        <f t="shared" si="26"/>
        <v>Jun</v>
      </c>
      <c r="D377" s="12">
        <v>1020</v>
      </c>
      <c r="E377" s="12" t="s">
        <v>35</v>
      </c>
      <c r="F377" s="12" t="s">
        <v>38</v>
      </c>
      <c r="G377" s="12" t="s">
        <v>25</v>
      </c>
      <c r="H377" s="12" t="s">
        <v>41</v>
      </c>
      <c r="I377" s="12">
        <v>7</v>
      </c>
      <c r="J377" s="12">
        <v>358</v>
      </c>
      <c r="K377" s="13">
        <v>0.3</v>
      </c>
      <c r="L377" s="12">
        <v>250.6</v>
      </c>
      <c r="M377" s="12">
        <f t="shared" si="27"/>
        <v>1754.1999999999998</v>
      </c>
      <c r="N377" s="14">
        <f t="shared" si="28"/>
        <v>0</v>
      </c>
      <c r="O377" s="14" t="str">
        <f t="shared" si="29"/>
        <v>F</v>
      </c>
    </row>
    <row r="378" spans="1:15" ht="14.4" x14ac:dyDescent="0.3">
      <c r="A378" s="10">
        <v>45449</v>
      </c>
      <c r="B378" s="11" t="str">
        <f t="shared" si="25"/>
        <v>2024</v>
      </c>
      <c r="C378" s="11" t="str">
        <f t="shared" si="26"/>
        <v>Jun</v>
      </c>
      <c r="D378" s="12">
        <v>1239</v>
      </c>
      <c r="E378" s="12" t="s">
        <v>37</v>
      </c>
      <c r="F378" s="12" t="s">
        <v>16</v>
      </c>
      <c r="G378" s="12" t="s">
        <v>28</v>
      </c>
      <c r="H378" s="12" t="s">
        <v>26</v>
      </c>
      <c r="I378" s="12">
        <v>8</v>
      </c>
      <c r="J378" s="12">
        <v>101</v>
      </c>
      <c r="K378" s="13">
        <v>0.2</v>
      </c>
      <c r="L378" s="12">
        <v>70.699999999999989</v>
      </c>
      <c r="M378" s="12">
        <f t="shared" si="27"/>
        <v>646.40000000000009</v>
      </c>
      <c r="N378" s="14">
        <f t="shared" si="28"/>
        <v>80.800000000000182</v>
      </c>
      <c r="O378" s="14" t="str">
        <f t="shared" si="29"/>
        <v>F</v>
      </c>
    </row>
    <row r="379" spans="1:15" ht="14.4" x14ac:dyDescent="0.3">
      <c r="A379" s="10">
        <v>45447</v>
      </c>
      <c r="B379" s="11" t="str">
        <f t="shared" si="25"/>
        <v>2024</v>
      </c>
      <c r="C379" s="11" t="str">
        <f t="shared" si="26"/>
        <v>Jun</v>
      </c>
      <c r="D379" s="12">
        <v>1241</v>
      </c>
      <c r="E379" s="12" t="s">
        <v>30</v>
      </c>
      <c r="F379" s="12" t="s">
        <v>24</v>
      </c>
      <c r="G379" s="12" t="s">
        <v>21</v>
      </c>
      <c r="H379" s="12" t="s">
        <v>26</v>
      </c>
      <c r="I379" s="12">
        <v>5</v>
      </c>
      <c r="J379" s="12">
        <v>344</v>
      </c>
      <c r="K379" s="13">
        <v>0.1</v>
      </c>
      <c r="L379" s="12">
        <v>240.8</v>
      </c>
      <c r="M379" s="12">
        <f t="shared" si="27"/>
        <v>1548</v>
      </c>
      <c r="N379" s="14">
        <f t="shared" si="28"/>
        <v>344</v>
      </c>
      <c r="O379" s="14" t="str">
        <f t="shared" si="29"/>
        <v>F</v>
      </c>
    </row>
    <row r="380" spans="1:15" ht="14.4" x14ac:dyDescent="0.3">
      <c r="A380" s="10">
        <v>45447</v>
      </c>
      <c r="B380" s="11" t="str">
        <f t="shared" si="25"/>
        <v>2024</v>
      </c>
      <c r="C380" s="11" t="str">
        <f t="shared" si="26"/>
        <v>Jun</v>
      </c>
      <c r="D380" s="12">
        <v>1246</v>
      </c>
      <c r="E380" s="12" t="s">
        <v>32</v>
      </c>
      <c r="F380" s="12" t="s">
        <v>38</v>
      </c>
      <c r="G380" s="12" t="s">
        <v>17</v>
      </c>
      <c r="H380" s="12" t="s">
        <v>36</v>
      </c>
      <c r="I380" s="12">
        <v>2</v>
      </c>
      <c r="J380" s="12">
        <v>162</v>
      </c>
      <c r="K380" s="13">
        <v>0.05</v>
      </c>
      <c r="L380" s="12">
        <v>113.4</v>
      </c>
      <c r="M380" s="12">
        <f t="shared" si="27"/>
        <v>307.8</v>
      </c>
      <c r="N380" s="14">
        <f t="shared" si="28"/>
        <v>81</v>
      </c>
      <c r="O380" s="14" t="str">
        <f t="shared" si="29"/>
        <v>F</v>
      </c>
    </row>
    <row r="381" spans="1:15" ht="14.4" x14ac:dyDescent="0.3">
      <c r="A381" s="10">
        <v>45447</v>
      </c>
      <c r="B381" s="11" t="str">
        <f t="shared" si="25"/>
        <v>2024</v>
      </c>
      <c r="C381" s="11" t="str">
        <f t="shared" si="26"/>
        <v>Jun</v>
      </c>
      <c r="D381" s="12">
        <v>1410</v>
      </c>
      <c r="E381" s="12" t="s">
        <v>32</v>
      </c>
      <c r="F381" s="12" t="s">
        <v>16</v>
      </c>
      <c r="G381" s="12" t="s">
        <v>25</v>
      </c>
      <c r="H381" s="12" t="s">
        <v>26</v>
      </c>
      <c r="I381" s="12">
        <v>6</v>
      </c>
      <c r="J381" s="12">
        <v>66</v>
      </c>
      <c r="K381" s="13">
        <v>0.1</v>
      </c>
      <c r="L381" s="12">
        <v>46.2</v>
      </c>
      <c r="M381" s="12">
        <f t="shared" si="27"/>
        <v>356.40000000000003</v>
      </c>
      <c r="N381" s="14">
        <f t="shared" si="28"/>
        <v>79.199999999999989</v>
      </c>
      <c r="O381" s="14" t="str">
        <f t="shared" si="29"/>
        <v>F</v>
      </c>
    </row>
    <row r="382" spans="1:15" ht="14.4" x14ac:dyDescent="0.3">
      <c r="A382" s="10">
        <v>45440</v>
      </c>
      <c r="B382" s="11" t="str">
        <f t="shared" si="25"/>
        <v>2024</v>
      </c>
      <c r="C382" s="11" t="str">
        <f t="shared" si="26"/>
        <v>May</v>
      </c>
      <c r="D382" s="12">
        <v>1163</v>
      </c>
      <c r="E382" s="12" t="s">
        <v>42</v>
      </c>
      <c r="F382" s="12" t="s">
        <v>16</v>
      </c>
      <c r="G382" s="12" t="s">
        <v>17</v>
      </c>
      <c r="H382" s="12" t="s">
        <v>26</v>
      </c>
      <c r="I382" s="12">
        <v>5</v>
      </c>
      <c r="J382" s="12">
        <v>442</v>
      </c>
      <c r="K382" s="13">
        <v>0</v>
      </c>
      <c r="L382" s="12">
        <v>309.39999999999998</v>
      </c>
      <c r="M382" s="12">
        <f t="shared" si="27"/>
        <v>2210</v>
      </c>
      <c r="N382" s="14">
        <f t="shared" si="28"/>
        <v>663</v>
      </c>
      <c r="O382" s="14" t="str">
        <f t="shared" si="29"/>
        <v>F</v>
      </c>
    </row>
    <row r="383" spans="1:15" ht="14.4" x14ac:dyDescent="0.3">
      <c r="A383" s="10">
        <v>45440</v>
      </c>
      <c r="B383" s="11" t="str">
        <f t="shared" si="25"/>
        <v>2024</v>
      </c>
      <c r="C383" s="11" t="str">
        <f t="shared" si="26"/>
        <v>May</v>
      </c>
      <c r="D383" s="12">
        <v>1393</v>
      </c>
      <c r="E383" s="12" t="s">
        <v>30</v>
      </c>
      <c r="F383" s="12" t="s">
        <v>24</v>
      </c>
      <c r="G383" s="12" t="s">
        <v>25</v>
      </c>
      <c r="H383" s="12" t="s">
        <v>31</v>
      </c>
      <c r="I383" s="12">
        <v>7</v>
      </c>
      <c r="J383" s="12">
        <v>313</v>
      </c>
      <c r="K383" s="13">
        <v>0.1</v>
      </c>
      <c r="L383" s="12">
        <v>219.1</v>
      </c>
      <c r="M383" s="12">
        <f t="shared" si="27"/>
        <v>1971.9</v>
      </c>
      <c r="N383" s="14">
        <f t="shared" si="28"/>
        <v>438.20000000000005</v>
      </c>
      <c r="O383" s="14" t="str">
        <f t="shared" si="29"/>
        <v>F</v>
      </c>
    </row>
    <row r="384" spans="1:15" ht="14.4" x14ac:dyDescent="0.3">
      <c r="A384" s="10">
        <v>45440</v>
      </c>
      <c r="B384" s="11" t="str">
        <f t="shared" si="25"/>
        <v>2024</v>
      </c>
      <c r="C384" s="11" t="str">
        <f t="shared" si="26"/>
        <v>May</v>
      </c>
      <c r="D384" s="12">
        <v>1423</v>
      </c>
      <c r="E384" s="12" t="s">
        <v>42</v>
      </c>
      <c r="F384" s="12" t="s">
        <v>24</v>
      </c>
      <c r="G384" s="12" t="s">
        <v>34</v>
      </c>
      <c r="H384" s="12" t="s">
        <v>40</v>
      </c>
      <c r="I384" s="12">
        <v>10</v>
      </c>
      <c r="J384" s="12">
        <v>351</v>
      </c>
      <c r="K384" s="13">
        <v>0</v>
      </c>
      <c r="L384" s="12">
        <v>245.7</v>
      </c>
      <c r="M384" s="12">
        <f t="shared" si="27"/>
        <v>3510</v>
      </c>
      <c r="N384" s="14">
        <f t="shared" si="28"/>
        <v>1053</v>
      </c>
      <c r="O384" s="14" t="str">
        <f t="shared" si="29"/>
        <v>F</v>
      </c>
    </row>
    <row r="385" spans="1:15" ht="14.4" x14ac:dyDescent="0.3">
      <c r="A385" s="10">
        <v>45439</v>
      </c>
      <c r="B385" s="11" t="str">
        <f t="shared" si="25"/>
        <v>2024</v>
      </c>
      <c r="C385" s="11" t="str">
        <f t="shared" si="26"/>
        <v>May</v>
      </c>
      <c r="D385" s="12">
        <v>1293</v>
      </c>
      <c r="E385" s="12" t="s">
        <v>27</v>
      </c>
      <c r="F385" s="12" t="s">
        <v>38</v>
      </c>
      <c r="G385" s="12" t="s">
        <v>17</v>
      </c>
      <c r="H385" s="12" t="s">
        <v>40</v>
      </c>
      <c r="I385" s="12">
        <v>2</v>
      </c>
      <c r="J385" s="12">
        <v>301</v>
      </c>
      <c r="K385" s="13">
        <v>0.2</v>
      </c>
      <c r="L385" s="12">
        <v>210.7</v>
      </c>
      <c r="M385" s="12">
        <f t="shared" si="27"/>
        <v>481.6</v>
      </c>
      <c r="N385" s="14">
        <f t="shared" si="28"/>
        <v>60.200000000000045</v>
      </c>
      <c r="O385" s="14" t="str">
        <f t="shared" si="29"/>
        <v>F</v>
      </c>
    </row>
    <row r="386" spans="1:15" ht="14.4" x14ac:dyDescent="0.3">
      <c r="A386" s="10">
        <v>45438</v>
      </c>
      <c r="B386" s="11" t="str">
        <f t="shared" ref="B386:B449" si="30">TEXT(A386,"yyyy")</f>
        <v>2024</v>
      </c>
      <c r="C386" s="11" t="str">
        <f t="shared" ref="C386:C449" si="31">TEXT(A386,"mmm")</f>
        <v>May</v>
      </c>
      <c r="D386" s="12">
        <v>1137</v>
      </c>
      <c r="E386" s="12" t="s">
        <v>37</v>
      </c>
      <c r="F386" s="12" t="s">
        <v>24</v>
      </c>
      <c r="G386" s="12" t="s">
        <v>33</v>
      </c>
      <c r="H386" s="12" t="s">
        <v>22</v>
      </c>
      <c r="I386" s="12">
        <v>10</v>
      </c>
      <c r="J386" s="12">
        <v>377</v>
      </c>
      <c r="K386" s="13">
        <v>0.25</v>
      </c>
      <c r="L386" s="12">
        <v>263.89999999999998</v>
      </c>
      <c r="M386" s="12">
        <f t="shared" ref="M386:M449" si="32">I386*J386*(1-K386)</f>
        <v>2827.5</v>
      </c>
      <c r="N386" s="14">
        <f t="shared" ref="N386:N449" si="33">M386-L386*I386</f>
        <v>188.5</v>
      </c>
      <c r="O386" s="14" t="str">
        <f t="shared" ref="O386:O449" si="34">IF(COUNTIF(E386:E885,E386)&gt;1,"F","O")</f>
        <v>F</v>
      </c>
    </row>
    <row r="387" spans="1:15" ht="14.4" x14ac:dyDescent="0.3">
      <c r="A387" s="10">
        <v>45438</v>
      </c>
      <c r="B387" s="11" t="str">
        <f t="shared" si="30"/>
        <v>2024</v>
      </c>
      <c r="C387" s="11" t="str">
        <f t="shared" si="31"/>
        <v>May</v>
      </c>
      <c r="D387" s="12">
        <v>1221</v>
      </c>
      <c r="E387" s="12" t="s">
        <v>32</v>
      </c>
      <c r="F387" s="12" t="s">
        <v>24</v>
      </c>
      <c r="G387" s="12" t="s">
        <v>28</v>
      </c>
      <c r="H387" s="12" t="s">
        <v>18</v>
      </c>
      <c r="I387" s="12">
        <v>7</v>
      </c>
      <c r="J387" s="12">
        <v>460</v>
      </c>
      <c r="K387" s="13">
        <v>0.1</v>
      </c>
      <c r="L387" s="12">
        <v>322</v>
      </c>
      <c r="M387" s="12">
        <f t="shared" si="32"/>
        <v>2898</v>
      </c>
      <c r="N387" s="14">
        <f t="shared" si="33"/>
        <v>644</v>
      </c>
      <c r="O387" s="14" t="str">
        <f t="shared" si="34"/>
        <v>F</v>
      </c>
    </row>
    <row r="388" spans="1:15" ht="14.4" x14ac:dyDescent="0.3">
      <c r="A388" s="10">
        <v>45438</v>
      </c>
      <c r="B388" s="11" t="str">
        <f t="shared" si="30"/>
        <v>2024</v>
      </c>
      <c r="C388" s="11" t="str">
        <f t="shared" si="31"/>
        <v>May</v>
      </c>
      <c r="D388" s="12">
        <v>1488</v>
      </c>
      <c r="E388" s="12" t="s">
        <v>27</v>
      </c>
      <c r="F388" s="12" t="s">
        <v>20</v>
      </c>
      <c r="G388" s="12" t="s">
        <v>28</v>
      </c>
      <c r="H388" s="12" t="s">
        <v>31</v>
      </c>
      <c r="I388" s="12">
        <v>7</v>
      </c>
      <c r="J388" s="12">
        <v>391</v>
      </c>
      <c r="K388" s="13">
        <v>0.05</v>
      </c>
      <c r="L388" s="12">
        <v>273.7</v>
      </c>
      <c r="M388" s="12">
        <f t="shared" si="32"/>
        <v>2600.15</v>
      </c>
      <c r="N388" s="14">
        <f t="shared" si="33"/>
        <v>684.25000000000023</v>
      </c>
      <c r="O388" s="14" t="str">
        <f t="shared" si="34"/>
        <v>F</v>
      </c>
    </row>
    <row r="389" spans="1:15" ht="14.4" x14ac:dyDescent="0.3">
      <c r="A389" s="10">
        <v>45437</v>
      </c>
      <c r="B389" s="11" t="str">
        <f t="shared" si="30"/>
        <v>2024</v>
      </c>
      <c r="C389" s="11" t="str">
        <f t="shared" si="31"/>
        <v>May</v>
      </c>
      <c r="D389" s="12">
        <v>1321</v>
      </c>
      <c r="E389" s="12" t="s">
        <v>37</v>
      </c>
      <c r="F389" s="12" t="s">
        <v>24</v>
      </c>
      <c r="G389" s="12" t="s">
        <v>34</v>
      </c>
      <c r="H389" s="12" t="s">
        <v>31</v>
      </c>
      <c r="I389" s="12">
        <v>10</v>
      </c>
      <c r="J389" s="12">
        <v>161</v>
      </c>
      <c r="K389" s="13">
        <v>0.2</v>
      </c>
      <c r="L389" s="12">
        <v>112.7</v>
      </c>
      <c r="M389" s="12">
        <f t="shared" si="32"/>
        <v>1288</v>
      </c>
      <c r="N389" s="14">
        <f t="shared" si="33"/>
        <v>161</v>
      </c>
      <c r="O389" s="14" t="str">
        <f t="shared" si="34"/>
        <v>F</v>
      </c>
    </row>
    <row r="390" spans="1:15" ht="14.4" x14ac:dyDescent="0.3">
      <c r="A390" s="10">
        <v>45437</v>
      </c>
      <c r="B390" s="11" t="str">
        <f t="shared" si="30"/>
        <v>2024</v>
      </c>
      <c r="C390" s="11" t="str">
        <f t="shared" si="31"/>
        <v>May</v>
      </c>
      <c r="D390" s="12">
        <v>1252</v>
      </c>
      <c r="E390" s="12" t="s">
        <v>39</v>
      </c>
      <c r="F390" s="12" t="s">
        <v>20</v>
      </c>
      <c r="G390" s="12" t="s">
        <v>28</v>
      </c>
      <c r="H390" s="12" t="s">
        <v>31</v>
      </c>
      <c r="I390" s="12">
        <v>3</v>
      </c>
      <c r="J390" s="12">
        <v>179</v>
      </c>
      <c r="K390" s="13">
        <v>0.3</v>
      </c>
      <c r="L390" s="12">
        <v>125.3</v>
      </c>
      <c r="M390" s="12">
        <f t="shared" si="32"/>
        <v>375.9</v>
      </c>
      <c r="N390" s="14">
        <f t="shared" si="33"/>
        <v>0</v>
      </c>
      <c r="O390" s="14" t="str">
        <f t="shared" si="34"/>
        <v>F</v>
      </c>
    </row>
    <row r="391" spans="1:15" ht="14.4" x14ac:dyDescent="0.3">
      <c r="A391" s="10">
        <v>45436</v>
      </c>
      <c r="B391" s="11" t="str">
        <f t="shared" si="30"/>
        <v>2024</v>
      </c>
      <c r="C391" s="11" t="str">
        <f t="shared" si="31"/>
        <v>May</v>
      </c>
      <c r="D391" s="12">
        <v>1387</v>
      </c>
      <c r="E391" s="12" t="s">
        <v>19</v>
      </c>
      <c r="F391" s="12" t="s">
        <v>20</v>
      </c>
      <c r="G391" s="12" t="s">
        <v>33</v>
      </c>
      <c r="H391" s="12" t="s">
        <v>36</v>
      </c>
      <c r="I391" s="12">
        <v>10</v>
      </c>
      <c r="J391" s="12">
        <v>207</v>
      </c>
      <c r="K391" s="13">
        <v>0.3</v>
      </c>
      <c r="L391" s="12">
        <v>144.9</v>
      </c>
      <c r="M391" s="12">
        <f t="shared" si="32"/>
        <v>1449</v>
      </c>
      <c r="N391" s="14">
        <f t="shared" si="33"/>
        <v>0</v>
      </c>
      <c r="O391" s="14" t="str">
        <f t="shared" si="34"/>
        <v>F</v>
      </c>
    </row>
    <row r="392" spans="1:15" ht="14.4" x14ac:dyDescent="0.3">
      <c r="A392" s="10">
        <v>45436</v>
      </c>
      <c r="B392" s="11" t="str">
        <f t="shared" si="30"/>
        <v>2024</v>
      </c>
      <c r="C392" s="11" t="str">
        <f t="shared" si="31"/>
        <v>May</v>
      </c>
      <c r="D392" s="12">
        <v>1425</v>
      </c>
      <c r="E392" s="12" t="s">
        <v>37</v>
      </c>
      <c r="F392" s="12" t="s">
        <v>20</v>
      </c>
      <c r="G392" s="12" t="s">
        <v>17</v>
      </c>
      <c r="H392" s="12" t="s">
        <v>41</v>
      </c>
      <c r="I392" s="12">
        <v>7</v>
      </c>
      <c r="J392" s="12">
        <v>144</v>
      </c>
      <c r="K392" s="13">
        <v>0.3</v>
      </c>
      <c r="L392" s="12">
        <v>100.8</v>
      </c>
      <c r="M392" s="12">
        <f t="shared" si="32"/>
        <v>705.59999999999991</v>
      </c>
      <c r="N392" s="14">
        <f t="shared" si="33"/>
        <v>0</v>
      </c>
      <c r="O392" s="14" t="str">
        <f t="shared" si="34"/>
        <v>F</v>
      </c>
    </row>
    <row r="393" spans="1:15" ht="14.4" x14ac:dyDescent="0.3">
      <c r="A393" s="10">
        <v>45435</v>
      </c>
      <c r="B393" s="11" t="str">
        <f t="shared" si="30"/>
        <v>2024</v>
      </c>
      <c r="C393" s="11" t="str">
        <f t="shared" si="31"/>
        <v>May</v>
      </c>
      <c r="D393" s="12">
        <v>1437</v>
      </c>
      <c r="E393" s="12" t="s">
        <v>23</v>
      </c>
      <c r="F393" s="12" t="s">
        <v>20</v>
      </c>
      <c r="G393" s="12" t="s">
        <v>34</v>
      </c>
      <c r="H393" s="12" t="s">
        <v>26</v>
      </c>
      <c r="I393" s="12">
        <v>3</v>
      </c>
      <c r="J393" s="12">
        <v>330</v>
      </c>
      <c r="K393" s="13">
        <v>0</v>
      </c>
      <c r="L393" s="12">
        <v>231</v>
      </c>
      <c r="M393" s="12">
        <f t="shared" si="32"/>
        <v>990</v>
      </c>
      <c r="N393" s="14">
        <f t="shared" si="33"/>
        <v>297</v>
      </c>
      <c r="O393" s="14" t="str">
        <f t="shared" si="34"/>
        <v>F</v>
      </c>
    </row>
    <row r="394" spans="1:15" ht="14.4" x14ac:dyDescent="0.3">
      <c r="A394" s="10">
        <v>45433</v>
      </c>
      <c r="B394" s="11" t="str">
        <f t="shared" si="30"/>
        <v>2024</v>
      </c>
      <c r="C394" s="11" t="str">
        <f t="shared" si="31"/>
        <v>May</v>
      </c>
      <c r="D394" s="12">
        <v>1354</v>
      </c>
      <c r="E394" s="12" t="s">
        <v>32</v>
      </c>
      <c r="F394" s="12" t="s">
        <v>16</v>
      </c>
      <c r="G394" s="12" t="s">
        <v>21</v>
      </c>
      <c r="H394" s="12" t="s">
        <v>26</v>
      </c>
      <c r="I394" s="12">
        <v>8</v>
      </c>
      <c r="J394" s="12">
        <v>148</v>
      </c>
      <c r="K394" s="13">
        <v>0.15</v>
      </c>
      <c r="L394" s="12">
        <v>103.6</v>
      </c>
      <c r="M394" s="12">
        <f t="shared" si="32"/>
        <v>1006.4</v>
      </c>
      <c r="N394" s="14">
        <f t="shared" si="33"/>
        <v>177.60000000000002</v>
      </c>
      <c r="O394" s="14" t="str">
        <f t="shared" si="34"/>
        <v>F</v>
      </c>
    </row>
    <row r="395" spans="1:15" ht="14.4" x14ac:dyDescent="0.3">
      <c r="A395" s="10">
        <v>45433</v>
      </c>
      <c r="B395" s="11" t="str">
        <f t="shared" si="30"/>
        <v>2024</v>
      </c>
      <c r="C395" s="11" t="str">
        <f t="shared" si="31"/>
        <v>May</v>
      </c>
      <c r="D395" s="12">
        <v>1270</v>
      </c>
      <c r="E395" s="12" t="s">
        <v>32</v>
      </c>
      <c r="F395" s="12" t="s">
        <v>20</v>
      </c>
      <c r="G395" s="12" t="s">
        <v>21</v>
      </c>
      <c r="H395" s="12" t="s">
        <v>40</v>
      </c>
      <c r="I395" s="12">
        <v>8</v>
      </c>
      <c r="J395" s="12">
        <v>488</v>
      </c>
      <c r="K395" s="13">
        <v>0</v>
      </c>
      <c r="L395" s="12">
        <v>341.6</v>
      </c>
      <c r="M395" s="12">
        <f t="shared" si="32"/>
        <v>3904</v>
      </c>
      <c r="N395" s="14">
        <f t="shared" si="33"/>
        <v>1171.1999999999998</v>
      </c>
      <c r="O395" s="14" t="str">
        <f t="shared" si="34"/>
        <v>F</v>
      </c>
    </row>
    <row r="396" spans="1:15" ht="14.4" x14ac:dyDescent="0.3">
      <c r="A396" s="10">
        <v>45430</v>
      </c>
      <c r="B396" s="11" t="str">
        <f t="shared" si="30"/>
        <v>2024</v>
      </c>
      <c r="C396" s="11" t="str">
        <f t="shared" si="31"/>
        <v>May</v>
      </c>
      <c r="D396" s="12">
        <v>1054</v>
      </c>
      <c r="E396" s="12" t="s">
        <v>23</v>
      </c>
      <c r="F396" s="12" t="s">
        <v>24</v>
      </c>
      <c r="G396" s="12" t="s">
        <v>17</v>
      </c>
      <c r="H396" s="12" t="s">
        <v>40</v>
      </c>
      <c r="I396" s="12">
        <v>5</v>
      </c>
      <c r="J396" s="12">
        <v>216</v>
      </c>
      <c r="K396" s="13">
        <v>0</v>
      </c>
      <c r="L396" s="12">
        <v>151.19999999999999</v>
      </c>
      <c r="M396" s="12">
        <f t="shared" si="32"/>
        <v>1080</v>
      </c>
      <c r="N396" s="14">
        <f t="shared" si="33"/>
        <v>324</v>
      </c>
      <c r="O396" s="14" t="str">
        <f t="shared" si="34"/>
        <v>F</v>
      </c>
    </row>
    <row r="397" spans="1:15" ht="14.4" x14ac:dyDescent="0.3">
      <c r="A397" s="10">
        <v>45429</v>
      </c>
      <c r="B397" s="11" t="str">
        <f t="shared" si="30"/>
        <v>2024</v>
      </c>
      <c r="C397" s="11" t="str">
        <f t="shared" si="31"/>
        <v>May</v>
      </c>
      <c r="D397" s="12">
        <v>1380</v>
      </c>
      <c r="E397" s="12" t="s">
        <v>39</v>
      </c>
      <c r="F397" s="12" t="s">
        <v>24</v>
      </c>
      <c r="G397" s="12" t="s">
        <v>33</v>
      </c>
      <c r="H397" s="12" t="s">
        <v>31</v>
      </c>
      <c r="I397" s="12">
        <v>9</v>
      </c>
      <c r="J397" s="12">
        <v>82</v>
      </c>
      <c r="K397" s="13">
        <v>0.25</v>
      </c>
      <c r="L397" s="12">
        <v>57.4</v>
      </c>
      <c r="M397" s="12">
        <f t="shared" si="32"/>
        <v>553.5</v>
      </c>
      <c r="N397" s="14">
        <f t="shared" si="33"/>
        <v>36.899999999999977</v>
      </c>
      <c r="O397" s="14" t="str">
        <f t="shared" si="34"/>
        <v>F</v>
      </c>
    </row>
    <row r="398" spans="1:15" ht="14.4" x14ac:dyDescent="0.3">
      <c r="A398" s="10">
        <v>45427</v>
      </c>
      <c r="B398" s="11" t="str">
        <f t="shared" si="30"/>
        <v>2024</v>
      </c>
      <c r="C398" s="11" t="str">
        <f t="shared" si="31"/>
        <v>May</v>
      </c>
      <c r="D398" s="12">
        <v>1150</v>
      </c>
      <c r="E398" s="12" t="s">
        <v>23</v>
      </c>
      <c r="F398" s="12" t="s">
        <v>38</v>
      </c>
      <c r="G398" s="12" t="s">
        <v>28</v>
      </c>
      <c r="H398" s="12" t="s">
        <v>26</v>
      </c>
      <c r="I398" s="12">
        <v>2</v>
      </c>
      <c r="J398" s="12">
        <v>84</v>
      </c>
      <c r="K398" s="13">
        <v>0.25</v>
      </c>
      <c r="L398" s="12">
        <v>58.8</v>
      </c>
      <c r="M398" s="12">
        <f t="shared" si="32"/>
        <v>126</v>
      </c>
      <c r="N398" s="14">
        <f t="shared" si="33"/>
        <v>8.4000000000000057</v>
      </c>
      <c r="O398" s="14" t="str">
        <f t="shared" si="34"/>
        <v>F</v>
      </c>
    </row>
    <row r="399" spans="1:15" ht="14.4" x14ac:dyDescent="0.3">
      <c r="A399" s="10">
        <v>45427</v>
      </c>
      <c r="B399" s="11" t="str">
        <f t="shared" si="30"/>
        <v>2024</v>
      </c>
      <c r="C399" s="11" t="str">
        <f t="shared" si="31"/>
        <v>May</v>
      </c>
      <c r="D399" s="12">
        <v>1258</v>
      </c>
      <c r="E399" s="12" t="s">
        <v>27</v>
      </c>
      <c r="F399" s="12" t="s">
        <v>38</v>
      </c>
      <c r="G399" s="12" t="s">
        <v>33</v>
      </c>
      <c r="H399" s="12" t="s">
        <v>40</v>
      </c>
      <c r="I399" s="12">
        <v>3</v>
      </c>
      <c r="J399" s="12">
        <v>434</v>
      </c>
      <c r="K399" s="13">
        <v>0.1</v>
      </c>
      <c r="L399" s="12">
        <v>303.8</v>
      </c>
      <c r="M399" s="12">
        <f t="shared" si="32"/>
        <v>1171.8</v>
      </c>
      <c r="N399" s="14">
        <f t="shared" si="33"/>
        <v>260.39999999999986</v>
      </c>
      <c r="O399" s="14" t="str">
        <f t="shared" si="34"/>
        <v>F</v>
      </c>
    </row>
    <row r="400" spans="1:15" ht="14.4" x14ac:dyDescent="0.3">
      <c r="A400" s="10">
        <v>45425</v>
      </c>
      <c r="B400" s="11" t="str">
        <f t="shared" si="30"/>
        <v>2024</v>
      </c>
      <c r="C400" s="11" t="str">
        <f t="shared" si="31"/>
        <v>May</v>
      </c>
      <c r="D400" s="12">
        <v>1230</v>
      </c>
      <c r="E400" s="12" t="s">
        <v>42</v>
      </c>
      <c r="F400" s="12" t="s">
        <v>16</v>
      </c>
      <c r="G400" s="12" t="s">
        <v>25</v>
      </c>
      <c r="H400" s="12" t="s">
        <v>36</v>
      </c>
      <c r="I400" s="12">
        <v>2</v>
      </c>
      <c r="J400" s="12">
        <v>364</v>
      </c>
      <c r="K400" s="13">
        <v>0.05</v>
      </c>
      <c r="L400" s="12">
        <v>254.8</v>
      </c>
      <c r="M400" s="12">
        <f t="shared" si="32"/>
        <v>691.6</v>
      </c>
      <c r="N400" s="14">
        <f t="shared" si="33"/>
        <v>182</v>
      </c>
      <c r="O400" s="14" t="str">
        <f t="shared" si="34"/>
        <v>F</v>
      </c>
    </row>
    <row r="401" spans="1:15" ht="14.4" x14ac:dyDescent="0.3">
      <c r="A401" s="10">
        <v>45423</v>
      </c>
      <c r="B401" s="11" t="str">
        <f t="shared" si="30"/>
        <v>2024</v>
      </c>
      <c r="C401" s="11" t="str">
        <f t="shared" si="31"/>
        <v>May</v>
      </c>
      <c r="D401" s="12">
        <v>1381</v>
      </c>
      <c r="E401" s="12" t="s">
        <v>15</v>
      </c>
      <c r="F401" s="12" t="s">
        <v>24</v>
      </c>
      <c r="G401" s="12" t="s">
        <v>17</v>
      </c>
      <c r="H401" s="12" t="s">
        <v>22</v>
      </c>
      <c r="I401" s="12">
        <v>8</v>
      </c>
      <c r="J401" s="12">
        <v>225</v>
      </c>
      <c r="K401" s="13">
        <v>0.1</v>
      </c>
      <c r="L401" s="12">
        <v>157.5</v>
      </c>
      <c r="M401" s="12">
        <f t="shared" si="32"/>
        <v>1620</v>
      </c>
      <c r="N401" s="14">
        <f t="shared" si="33"/>
        <v>360</v>
      </c>
      <c r="O401" s="14" t="str">
        <f t="shared" si="34"/>
        <v>F</v>
      </c>
    </row>
    <row r="402" spans="1:15" ht="14.4" x14ac:dyDescent="0.3">
      <c r="A402" s="10">
        <v>45422</v>
      </c>
      <c r="B402" s="11" t="str">
        <f t="shared" si="30"/>
        <v>2024</v>
      </c>
      <c r="C402" s="11" t="str">
        <f t="shared" si="31"/>
        <v>May</v>
      </c>
      <c r="D402" s="12">
        <v>1103</v>
      </c>
      <c r="E402" s="12" t="s">
        <v>30</v>
      </c>
      <c r="F402" s="12" t="s">
        <v>24</v>
      </c>
      <c r="G402" s="12" t="s">
        <v>25</v>
      </c>
      <c r="H402" s="12" t="s">
        <v>18</v>
      </c>
      <c r="I402" s="12">
        <v>8</v>
      </c>
      <c r="J402" s="12">
        <v>387</v>
      </c>
      <c r="K402" s="13">
        <v>0.05</v>
      </c>
      <c r="L402" s="12">
        <v>270.89999999999998</v>
      </c>
      <c r="M402" s="12">
        <f t="shared" si="32"/>
        <v>2941.2</v>
      </c>
      <c r="N402" s="14">
        <f t="shared" si="33"/>
        <v>774</v>
      </c>
      <c r="O402" s="14" t="str">
        <f t="shared" si="34"/>
        <v>F</v>
      </c>
    </row>
    <row r="403" spans="1:15" ht="14.4" x14ac:dyDescent="0.3">
      <c r="A403" s="10">
        <v>45422</v>
      </c>
      <c r="B403" s="11" t="str">
        <f t="shared" si="30"/>
        <v>2024</v>
      </c>
      <c r="C403" s="11" t="str">
        <f t="shared" si="31"/>
        <v>May</v>
      </c>
      <c r="D403" s="12">
        <v>1124</v>
      </c>
      <c r="E403" s="12" t="s">
        <v>23</v>
      </c>
      <c r="F403" s="12" t="s">
        <v>24</v>
      </c>
      <c r="G403" s="12" t="s">
        <v>17</v>
      </c>
      <c r="H403" s="12" t="s">
        <v>22</v>
      </c>
      <c r="I403" s="12">
        <v>3</v>
      </c>
      <c r="J403" s="12">
        <v>188</v>
      </c>
      <c r="K403" s="13">
        <v>0.1</v>
      </c>
      <c r="L403" s="12">
        <v>131.6</v>
      </c>
      <c r="M403" s="12">
        <f t="shared" si="32"/>
        <v>507.6</v>
      </c>
      <c r="N403" s="14">
        <f t="shared" si="33"/>
        <v>112.80000000000007</v>
      </c>
      <c r="O403" s="14" t="str">
        <f t="shared" si="34"/>
        <v>F</v>
      </c>
    </row>
    <row r="404" spans="1:15" ht="14.4" x14ac:dyDescent="0.3">
      <c r="A404" s="10">
        <v>45420</v>
      </c>
      <c r="B404" s="11" t="str">
        <f t="shared" si="30"/>
        <v>2024</v>
      </c>
      <c r="C404" s="11" t="str">
        <f t="shared" si="31"/>
        <v>May</v>
      </c>
      <c r="D404" s="12">
        <v>1265</v>
      </c>
      <c r="E404" s="12" t="s">
        <v>23</v>
      </c>
      <c r="F404" s="12" t="s">
        <v>24</v>
      </c>
      <c r="G404" s="12" t="s">
        <v>33</v>
      </c>
      <c r="H404" s="12" t="s">
        <v>22</v>
      </c>
      <c r="I404" s="12">
        <v>8</v>
      </c>
      <c r="J404" s="12">
        <v>209</v>
      </c>
      <c r="K404" s="13">
        <v>0.1</v>
      </c>
      <c r="L404" s="12">
        <v>146.30000000000001</v>
      </c>
      <c r="M404" s="12">
        <f t="shared" si="32"/>
        <v>1504.8</v>
      </c>
      <c r="N404" s="14">
        <f t="shared" si="33"/>
        <v>334.39999999999986</v>
      </c>
      <c r="O404" s="14" t="str">
        <f t="shared" si="34"/>
        <v>F</v>
      </c>
    </row>
    <row r="405" spans="1:15" ht="14.4" x14ac:dyDescent="0.3">
      <c r="A405" s="10">
        <v>45420</v>
      </c>
      <c r="B405" s="11" t="str">
        <f t="shared" si="30"/>
        <v>2024</v>
      </c>
      <c r="C405" s="11" t="str">
        <f t="shared" si="31"/>
        <v>May</v>
      </c>
      <c r="D405" s="12">
        <v>1495</v>
      </c>
      <c r="E405" s="12" t="s">
        <v>35</v>
      </c>
      <c r="F405" s="12" t="s">
        <v>38</v>
      </c>
      <c r="G405" s="12" t="s">
        <v>21</v>
      </c>
      <c r="H405" s="12" t="s">
        <v>29</v>
      </c>
      <c r="I405" s="12">
        <v>7</v>
      </c>
      <c r="J405" s="12">
        <v>199</v>
      </c>
      <c r="K405" s="13">
        <v>0.05</v>
      </c>
      <c r="L405" s="12">
        <v>139.30000000000001</v>
      </c>
      <c r="M405" s="12">
        <f t="shared" si="32"/>
        <v>1323.35</v>
      </c>
      <c r="N405" s="14">
        <f t="shared" si="33"/>
        <v>348.24999999999977</v>
      </c>
      <c r="O405" s="14" t="str">
        <f t="shared" si="34"/>
        <v>F</v>
      </c>
    </row>
    <row r="406" spans="1:15" ht="14.4" x14ac:dyDescent="0.3">
      <c r="A406" s="10">
        <v>45419</v>
      </c>
      <c r="B406" s="11" t="str">
        <f t="shared" si="30"/>
        <v>2024</v>
      </c>
      <c r="C406" s="11" t="str">
        <f t="shared" si="31"/>
        <v>May</v>
      </c>
      <c r="D406" s="12">
        <v>1186</v>
      </c>
      <c r="E406" s="12" t="s">
        <v>30</v>
      </c>
      <c r="F406" s="12" t="s">
        <v>20</v>
      </c>
      <c r="G406" s="12" t="s">
        <v>28</v>
      </c>
      <c r="H406" s="12" t="s">
        <v>22</v>
      </c>
      <c r="I406" s="12">
        <v>10</v>
      </c>
      <c r="J406" s="12">
        <v>209</v>
      </c>
      <c r="K406" s="13">
        <v>0</v>
      </c>
      <c r="L406" s="12">
        <v>146.30000000000001</v>
      </c>
      <c r="M406" s="12">
        <f t="shared" si="32"/>
        <v>2090</v>
      </c>
      <c r="N406" s="14">
        <f t="shared" si="33"/>
        <v>627</v>
      </c>
      <c r="O406" s="14" t="str">
        <f t="shared" si="34"/>
        <v>F</v>
      </c>
    </row>
    <row r="407" spans="1:15" ht="14.4" x14ac:dyDescent="0.3">
      <c r="A407" s="10">
        <v>45418</v>
      </c>
      <c r="B407" s="11" t="str">
        <f t="shared" si="30"/>
        <v>2024</v>
      </c>
      <c r="C407" s="11" t="str">
        <f t="shared" si="31"/>
        <v>May</v>
      </c>
      <c r="D407" s="12">
        <v>1196</v>
      </c>
      <c r="E407" s="12" t="s">
        <v>30</v>
      </c>
      <c r="F407" s="12" t="s">
        <v>24</v>
      </c>
      <c r="G407" s="12" t="s">
        <v>28</v>
      </c>
      <c r="H407" s="12" t="s">
        <v>18</v>
      </c>
      <c r="I407" s="12">
        <v>10</v>
      </c>
      <c r="J407" s="12">
        <v>490</v>
      </c>
      <c r="K407" s="13">
        <v>0.2</v>
      </c>
      <c r="L407" s="12">
        <v>343</v>
      </c>
      <c r="M407" s="12">
        <f t="shared" si="32"/>
        <v>3920</v>
      </c>
      <c r="N407" s="14">
        <f t="shared" si="33"/>
        <v>490</v>
      </c>
      <c r="O407" s="14" t="str">
        <f t="shared" si="34"/>
        <v>F</v>
      </c>
    </row>
    <row r="408" spans="1:15" ht="14.4" x14ac:dyDescent="0.3">
      <c r="A408" s="10">
        <v>45418</v>
      </c>
      <c r="B408" s="11" t="str">
        <f t="shared" si="30"/>
        <v>2024</v>
      </c>
      <c r="C408" s="11" t="str">
        <f t="shared" si="31"/>
        <v>May</v>
      </c>
      <c r="D408" s="12">
        <v>1300</v>
      </c>
      <c r="E408" s="12" t="s">
        <v>35</v>
      </c>
      <c r="F408" s="12" t="s">
        <v>24</v>
      </c>
      <c r="G408" s="12" t="s">
        <v>21</v>
      </c>
      <c r="H408" s="12" t="s">
        <v>40</v>
      </c>
      <c r="I408" s="12">
        <v>8</v>
      </c>
      <c r="J408" s="12">
        <v>401</v>
      </c>
      <c r="K408" s="13">
        <v>0.2</v>
      </c>
      <c r="L408" s="12">
        <v>280.7</v>
      </c>
      <c r="M408" s="12">
        <f t="shared" si="32"/>
        <v>2566.4</v>
      </c>
      <c r="N408" s="14">
        <f t="shared" si="33"/>
        <v>320.80000000000018</v>
      </c>
      <c r="O408" s="14" t="str">
        <f t="shared" si="34"/>
        <v>F</v>
      </c>
    </row>
    <row r="409" spans="1:15" ht="14.4" x14ac:dyDescent="0.3">
      <c r="A409" s="10">
        <v>45417</v>
      </c>
      <c r="B409" s="11" t="str">
        <f t="shared" si="30"/>
        <v>2024</v>
      </c>
      <c r="C409" s="11" t="str">
        <f t="shared" si="31"/>
        <v>May</v>
      </c>
      <c r="D409" s="12">
        <v>1348</v>
      </c>
      <c r="E409" s="12" t="s">
        <v>27</v>
      </c>
      <c r="F409" s="12" t="s">
        <v>38</v>
      </c>
      <c r="G409" s="12" t="s">
        <v>21</v>
      </c>
      <c r="H409" s="12" t="s">
        <v>36</v>
      </c>
      <c r="I409" s="12">
        <v>3</v>
      </c>
      <c r="J409" s="12">
        <v>471</v>
      </c>
      <c r="K409" s="13">
        <v>0</v>
      </c>
      <c r="L409" s="12">
        <v>329.7</v>
      </c>
      <c r="M409" s="12">
        <f t="shared" si="32"/>
        <v>1413</v>
      </c>
      <c r="N409" s="14">
        <f t="shared" si="33"/>
        <v>423.90000000000009</v>
      </c>
      <c r="O409" s="14" t="str">
        <f t="shared" si="34"/>
        <v>F</v>
      </c>
    </row>
    <row r="410" spans="1:15" ht="14.4" x14ac:dyDescent="0.3">
      <c r="A410" s="10">
        <v>45416</v>
      </c>
      <c r="B410" s="11" t="str">
        <f t="shared" si="30"/>
        <v>2024</v>
      </c>
      <c r="C410" s="11" t="str">
        <f t="shared" si="31"/>
        <v>May</v>
      </c>
      <c r="D410" s="12">
        <v>1107</v>
      </c>
      <c r="E410" s="12" t="s">
        <v>27</v>
      </c>
      <c r="F410" s="12" t="s">
        <v>24</v>
      </c>
      <c r="G410" s="12" t="s">
        <v>34</v>
      </c>
      <c r="H410" s="12" t="s">
        <v>31</v>
      </c>
      <c r="I410" s="12">
        <v>6</v>
      </c>
      <c r="J410" s="12">
        <v>459</v>
      </c>
      <c r="K410" s="13">
        <v>0.2</v>
      </c>
      <c r="L410" s="12">
        <v>321.3</v>
      </c>
      <c r="M410" s="12">
        <f t="shared" si="32"/>
        <v>2203.2000000000003</v>
      </c>
      <c r="N410" s="14">
        <f t="shared" si="33"/>
        <v>275.40000000000009</v>
      </c>
      <c r="O410" s="14" t="str">
        <f t="shared" si="34"/>
        <v>F</v>
      </c>
    </row>
    <row r="411" spans="1:15" ht="14.4" x14ac:dyDescent="0.3">
      <c r="A411" s="10">
        <v>45415</v>
      </c>
      <c r="B411" s="11" t="str">
        <f t="shared" si="30"/>
        <v>2024</v>
      </c>
      <c r="C411" s="11" t="str">
        <f t="shared" si="31"/>
        <v>May</v>
      </c>
      <c r="D411" s="12">
        <v>1121</v>
      </c>
      <c r="E411" s="12" t="s">
        <v>19</v>
      </c>
      <c r="F411" s="12" t="s">
        <v>16</v>
      </c>
      <c r="G411" s="12" t="s">
        <v>33</v>
      </c>
      <c r="H411" s="12" t="s">
        <v>18</v>
      </c>
      <c r="I411" s="12">
        <v>8</v>
      </c>
      <c r="J411" s="12">
        <v>178</v>
      </c>
      <c r="K411" s="13">
        <v>0</v>
      </c>
      <c r="L411" s="12">
        <v>124.6</v>
      </c>
      <c r="M411" s="12">
        <f t="shared" si="32"/>
        <v>1424</v>
      </c>
      <c r="N411" s="14">
        <f t="shared" si="33"/>
        <v>427.20000000000005</v>
      </c>
      <c r="O411" s="14" t="str">
        <f t="shared" si="34"/>
        <v>F</v>
      </c>
    </row>
    <row r="412" spans="1:15" ht="14.4" x14ac:dyDescent="0.3">
      <c r="A412" s="10">
        <v>45413</v>
      </c>
      <c r="B412" s="11" t="str">
        <f t="shared" si="30"/>
        <v>2024</v>
      </c>
      <c r="C412" s="11" t="str">
        <f t="shared" si="31"/>
        <v>May</v>
      </c>
      <c r="D412" s="12">
        <v>1399</v>
      </c>
      <c r="E412" s="12" t="s">
        <v>30</v>
      </c>
      <c r="F412" s="12" t="s">
        <v>16</v>
      </c>
      <c r="G412" s="12" t="s">
        <v>28</v>
      </c>
      <c r="H412" s="12" t="s">
        <v>18</v>
      </c>
      <c r="I412" s="12">
        <v>7</v>
      </c>
      <c r="J412" s="12">
        <v>146</v>
      </c>
      <c r="K412" s="13">
        <v>0</v>
      </c>
      <c r="L412" s="12">
        <v>102.2</v>
      </c>
      <c r="M412" s="12">
        <f t="shared" si="32"/>
        <v>1022</v>
      </c>
      <c r="N412" s="14">
        <f t="shared" si="33"/>
        <v>306.60000000000002</v>
      </c>
      <c r="O412" s="14" t="str">
        <f t="shared" si="34"/>
        <v>F</v>
      </c>
    </row>
    <row r="413" spans="1:15" ht="14.4" x14ac:dyDescent="0.3">
      <c r="A413" s="10">
        <v>45413</v>
      </c>
      <c r="B413" s="11" t="str">
        <f t="shared" si="30"/>
        <v>2024</v>
      </c>
      <c r="C413" s="11" t="str">
        <f t="shared" si="31"/>
        <v>May</v>
      </c>
      <c r="D413" s="12">
        <v>1482</v>
      </c>
      <c r="E413" s="12" t="s">
        <v>15</v>
      </c>
      <c r="F413" s="12" t="s">
        <v>16</v>
      </c>
      <c r="G413" s="12" t="s">
        <v>28</v>
      </c>
      <c r="H413" s="12" t="s">
        <v>36</v>
      </c>
      <c r="I413" s="12">
        <v>10</v>
      </c>
      <c r="J413" s="12">
        <v>141</v>
      </c>
      <c r="K413" s="13">
        <v>0.3</v>
      </c>
      <c r="L413" s="12">
        <v>98.699999999999989</v>
      </c>
      <c r="M413" s="12">
        <f t="shared" si="32"/>
        <v>986.99999999999989</v>
      </c>
      <c r="N413" s="14">
        <f t="shared" si="33"/>
        <v>0</v>
      </c>
      <c r="O413" s="14" t="str">
        <f t="shared" si="34"/>
        <v>F</v>
      </c>
    </row>
    <row r="414" spans="1:15" ht="14.4" x14ac:dyDescent="0.3">
      <c r="A414" s="10">
        <v>45412</v>
      </c>
      <c r="B414" s="11" t="str">
        <f t="shared" si="30"/>
        <v>2024</v>
      </c>
      <c r="C414" s="11" t="str">
        <f t="shared" si="31"/>
        <v>Apr</v>
      </c>
      <c r="D414" s="12">
        <v>1470</v>
      </c>
      <c r="E414" s="12" t="s">
        <v>35</v>
      </c>
      <c r="F414" s="12" t="s">
        <v>20</v>
      </c>
      <c r="G414" s="12" t="s">
        <v>28</v>
      </c>
      <c r="H414" s="12" t="s">
        <v>40</v>
      </c>
      <c r="I414" s="12">
        <v>9</v>
      </c>
      <c r="J414" s="12">
        <v>365</v>
      </c>
      <c r="K414" s="13">
        <v>0</v>
      </c>
      <c r="L414" s="12">
        <v>255.5</v>
      </c>
      <c r="M414" s="12">
        <f t="shared" si="32"/>
        <v>3285</v>
      </c>
      <c r="N414" s="14">
        <f t="shared" si="33"/>
        <v>985.5</v>
      </c>
      <c r="O414" s="14" t="str">
        <f t="shared" si="34"/>
        <v>F</v>
      </c>
    </row>
    <row r="415" spans="1:15" ht="14.4" x14ac:dyDescent="0.3">
      <c r="A415" s="10">
        <v>45410</v>
      </c>
      <c r="B415" s="11" t="str">
        <f t="shared" si="30"/>
        <v>2024</v>
      </c>
      <c r="C415" s="11" t="str">
        <f t="shared" si="31"/>
        <v>Apr</v>
      </c>
      <c r="D415" s="12">
        <v>1136</v>
      </c>
      <c r="E415" s="12" t="s">
        <v>19</v>
      </c>
      <c r="F415" s="12" t="s">
        <v>16</v>
      </c>
      <c r="G415" s="12" t="s">
        <v>28</v>
      </c>
      <c r="H415" s="12" t="s">
        <v>40</v>
      </c>
      <c r="I415" s="12">
        <v>5</v>
      </c>
      <c r="J415" s="12">
        <v>250</v>
      </c>
      <c r="K415" s="13">
        <v>0.3</v>
      </c>
      <c r="L415" s="12">
        <v>175</v>
      </c>
      <c r="M415" s="12">
        <f t="shared" si="32"/>
        <v>875</v>
      </c>
      <c r="N415" s="14">
        <f t="shared" si="33"/>
        <v>0</v>
      </c>
      <c r="O415" s="14" t="str">
        <f t="shared" si="34"/>
        <v>F</v>
      </c>
    </row>
    <row r="416" spans="1:15" ht="14.4" x14ac:dyDescent="0.3">
      <c r="A416" s="10">
        <v>45409</v>
      </c>
      <c r="B416" s="11" t="str">
        <f t="shared" si="30"/>
        <v>2024</v>
      </c>
      <c r="C416" s="11" t="str">
        <f t="shared" si="31"/>
        <v>Apr</v>
      </c>
      <c r="D416" s="12">
        <v>1468</v>
      </c>
      <c r="E416" s="12" t="s">
        <v>39</v>
      </c>
      <c r="F416" s="12" t="s">
        <v>20</v>
      </c>
      <c r="G416" s="12" t="s">
        <v>21</v>
      </c>
      <c r="H416" s="12" t="s">
        <v>40</v>
      </c>
      <c r="I416" s="12">
        <v>5</v>
      </c>
      <c r="J416" s="12">
        <v>457</v>
      </c>
      <c r="K416" s="13">
        <v>0.25</v>
      </c>
      <c r="L416" s="12">
        <v>319.89999999999998</v>
      </c>
      <c r="M416" s="12">
        <f t="shared" si="32"/>
        <v>1713.75</v>
      </c>
      <c r="N416" s="14">
        <f t="shared" si="33"/>
        <v>114.25</v>
      </c>
      <c r="O416" s="14" t="str">
        <f t="shared" si="34"/>
        <v>F</v>
      </c>
    </row>
    <row r="417" spans="1:15" ht="14.4" x14ac:dyDescent="0.3">
      <c r="A417" s="10">
        <v>45409</v>
      </c>
      <c r="B417" s="11" t="str">
        <f t="shared" si="30"/>
        <v>2024</v>
      </c>
      <c r="C417" s="11" t="str">
        <f t="shared" si="31"/>
        <v>Apr</v>
      </c>
      <c r="D417" s="12">
        <v>1479</v>
      </c>
      <c r="E417" s="12" t="s">
        <v>23</v>
      </c>
      <c r="F417" s="12" t="s">
        <v>20</v>
      </c>
      <c r="G417" s="12" t="s">
        <v>25</v>
      </c>
      <c r="H417" s="12" t="s">
        <v>29</v>
      </c>
      <c r="I417" s="12">
        <v>8</v>
      </c>
      <c r="J417" s="12">
        <v>191</v>
      </c>
      <c r="K417" s="13">
        <v>0.05</v>
      </c>
      <c r="L417" s="12">
        <v>133.69999999999999</v>
      </c>
      <c r="M417" s="12">
        <f t="shared" si="32"/>
        <v>1451.6</v>
      </c>
      <c r="N417" s="14">
        <f t="shared" si="33"/>
        <v>382</v>
      </c>
      <c r="O417" s="14" t="str">
        <f t="shared" si="34"/>
        <v>F</v>
      </c>
    </row>
    <row r="418" spans="1:15" ht="14.4" x14ac:dyDescent="0.3">
      <c r="A418" s="10">
        <v>45409</v>
      </c>
      <c r="B418" s="11" t="str">
        <f t="shared" si="30"/>
        <v>2024</v>
      </c>
      <c r="C418" s="11" t="str">
        <f t="shared" si="31"/>
        <v>Apr</v>
      </c>
      <c r="D418" s="12">
        <v>1203</v>
      </c>
      <c r="E418" s="12" t="s">
        <v>37</v>
      </c>
      <c r="F418" s="12" t="s">
        <v>38</v>
      </c>
      <c r="G418" s="12" t="s">
        <v>21</v>
      </c>
      <c r="H418" s="12" t="s">
        <v>36</v>
      </c>
      <c r="I418" s="12">
        <v>9</v>
      </c>
      <c r="J418" s="12">
        <v>335</v>
      </c>
      <c r="K418" s="13">
        <v>0</v>
      </c>
      <c r="L418" s="12">
        <v>234.5</v>
      </c>
      <c r="M418" s="12">
        <f t="shared" si="32"/>
        <v>3015</v>
      </c>
      <c r="N418" s="14">
        <f t="shared" si="33"/>
        <v>904.5</v>
      </c>
      <c r="O418" s="14" t="str">
        <f t="shared" si="34"/>
        <v>F</v>
      </c>
    </row>
    <row r="419" spans="1:15" ht="14.4" x14ac:dyDescent="0.3">
      <c r="A419" s="10">
        <v>45407</v>
      </c>
      <c r="B419" s="11" t="str">
        <f t="shared" si="30"/>
        <v>2024</v>
      </c>
      <c r="C419" s="11" t="str">
        <f t="shared" si="31"/>
        <v>Apr</v>
      </c>
      <c r="D419" s="12">
        <v>1001</v>
      </c>
      <c r="E419" s="12" t="s">
        <v>32</v>
      </c>
      <c r="F419" s="12" t="s">
        <v>20</v>
      </c>
      <c r="G419" s="12" t="s">
        <v>33</v>
      </c>
      <c r="H419" s="12" t="s">
        <v>18</v>
      </c>
      <c r="I419" s="12">
        <v>3</v>
      </c>
      <c r="J419" s="12">
        <v>152</v>
      </c>
      <c r="K419" s="13">
        <v>0.05</v>
      </c>
      <c r="L419" s="12">
        <v>106.4</v>
      </c>
      <c r="M419" s="12">
        <f t="shared" si="32"/>
        <v>433.2</v>
      </c>
      <c r="N419" s="14">
        <f t="shared" si="33"/>
        <v>113.99999999999994</v>
      </c>
      <c r="O419" s="14" t="str">
        <f t="shared" si="34"/>
        <v>F</v>
      </c>
    </row>
    <row r="420" spans="1:15" ht="14.4" x14ac:dyDescent="0.3">
      <c r="A420" s="10">
        <v>45404</v>
      </c>
      <c r="B420" s="11" t="str">
        <f t="shared" si="30"/>
        <v>2024</v>
      </c>
      <c r="C420" s="11" t="str">
        <f t="shared" si="31"/>
        <v>Apr</v>
      </c>
      <c r="D420" s="12">
        <v>1038</v>
      </c>
      <c r="E420" s="12" t="s">
        <v>15</v>
      </c>
      <c r="F420" s="12" t="s">
        <v>16</v>
      </c>
      <c r="G420" s="12" t="s">
        <v>33</v>
      </c>
      <c r="H420" s="12" t="s">
        <v>26</v>
      </c>
      <c r="I420" s="12">
        <v>3</v>
      </c>
      <c r="J420" s="12">
        <v>237</v>
      </c>
      <c r="K420" s="13">
        <v>0.05</v>
      </c>
      <c r="L420" s="12">
        <v>165.9</v>
      </c>
      <c r="M420" s="12">
        <f t="shared" si="32"/>
        <v>675.44999999999993</v>
      </c>
      <c r="N420" s="14">
        <f t="shared" si="33"/>
        <v>177.74999999999989</v>
      </c>
      <c r="O420" s="14" t="str">
        <f t="shared" si="34"/>
        <v>F</v>
      </c>
    </row>
    <row r="421" spans="1:15" ht="14.4" x14ac:dyDescent="0.3">
      <c r="A421" s="10">
        <v>45404</v>
      </c>
      <c r="B421" s="11" t="str">
        <f t="shared" si="30"/>
        <v>2024</v>
      </c>
      <c r="C421" s="11" t="str">
        <f t="shared" si="31"/>
        <v>Apr</v>
      </c>
      <c r="D421" s="12">
        <v>1204</v>
      </c>
      <c r="E421" s="12" t="s">
        <v>30</v>
      </c>
      <c r="F421" s="12" t="s">
        <v>16</v>
      </c>
      <c r="G421" s="12" t="s">
        <v>25</v>
      </c>
      <c r="H421" s="12" t="s">
        <v>29</v>
      </c>
      <c r="I421" s="12">
        <v>9</v>
      </c>
      <c r="J421" s="12">
        <v>495</v>
      </c>
      <c r="K421" s="13">
        <v>0.1</v>
      </c>
      <c r="L421" s="12">
        <v>346.5</v>
      </c>
      <c r="M421" s="12">
        <f t="shared" si="32"/>
        <v>4009.5</v>
      </c>
      <c r="N421" s="14">
        <f t="shared" si="33"/>
        <v>891</v>
      </c>
      <c r="O421" s="14" t="str">
        <f t="shared" si="34"/>
        <v>F</v>
      </c>
    </row>
    <row r="422" spans="1:15" ht="14.4" x14ac:dyDescent="0.3">
      <c r="A422" s="10">
        <v>45402</v>
      </c>
      <c r="B422" s="11" t="str">
        <f t="shared" si="30"/>
        <v>2024</v>
      </c>
      <c r="C422" s="11" t="str">
        <f t="shared" si="31"/>
        <v>Apr</v>
      </c>
      <c r="D422" s="12">
        <v>1414</v>
      </c>
      <c r="E422" s="12" t="s">
        <v>37</v>
      </c>
      <c r="F422" s="12" t="s">
        <v>16</v>
      </c>
      <c r="G422" s="12" t="s">
        <v>33</v>
      </c>
      <c r="H422" s="12" t="s">
        <v>18</v>
      </c>
      <c r="I422" s="12">
        <v>10</v>
      </c>
      <c r="J422" s="12">
        <v>95</v>
      </c>
      <c r="K422" s="13">
        <v>0.05</v>
      </c>
      <c r="L422" s="12">
        <v>66.5</v>
      </c>
      <c r="M422" s="12">
        <f t="shared" si="32"/>
        <v>902.5</v>
      </c>
      <c r="N422" s="14">
        <f t="shared" si="33"/>
        <v>237.5</v>
      </c>
      <c r="O422" s="14" t="str">
        <f t="shared" si="34"/>
        <v>F</v>
      </c>
    </row>
    <row r="423" spans="1:15" ht="14.4" x14ac:dyDescent="0.3">
      <c r="A423" s="10">
        <v>45401</v>
      </c>
      <c r="B423" s="11" t="str">
        <f t="shared" si="30"/>
        <v>2024</v>
      </c>
      <c r="C423" s="11" t="str">
        <f t="shared" si="31"/>
        <v>Apr</v>
      </c>
      <c r="D423" s="12">
        <v>1109</v>
      </c>
      <c r="E423" s="12" t="s">
        <v>42</v>
      </c>
      <c r="F423" s="12" t="s">
        <v>20</v>
      </c>
      <c r="G423" s="12" t="s">
        <v>28</v>
      </c>
      <c r="H423" s="12" t="s">
        <v>26</v>
      </c>
      <c r="I423" s="12">
        <v>3</v>
      </c>
      <c r="J423" s="12">
        <v>301</v>
      </c>
      <c r="K423" s="13">
        <v>0.15</v>
      </c>
      <c r="L423" s="12">
        <v>210.7</v>
      </c>
      <c r="M423" s="12">
        <f t="shared" si="32"/>
        <v>767.55</v>
      </c>
      <c r="N423" s="14">
        <f t="shared" si="33"/>
        <v>135.45000000000005</v>
      </c>
      <c r="O423" s="14" t="str">
        <f t="shared" si="34"/>
        <v>F</v>
      </c>
    </row>
    <row r="424" spans="1:15" ht="14.4" x14ac:dyDescent="0.3">
      <c r="A424" s="10">
        <v>45400</v>
      </c>
      <c r="B424" s="11" t="str">
        <f t="shared" si="30"/>
        <v>2024</v>
      </c>
      <c r="C424" s="11" t="str">
        <f t="shared" si="31"/>
        <v>Apr</v>
      </c>
      <c r="D424" s="12">
        <v>1456</v>
      </c>
      <c r="E424" s="12" t="s">
        <v>23</v>
      </c>
      <c r="F424" s="12" t="s">
        <v>38</v>
      </c>
      <c r="G424" s="12" t="s">
        <v>17</v>
      </c>
      <c r="H424" s="12" t="s">
        <v>41</v>
      </c>
      <c r="I424" s="12">
        <v>3</v>
      </c>
      <c r="J424" s="12">
        <v>466</v>
      </c>
      <c r="K424" s="13">
        <v>0.05</v>
      </c>
      <c r="L424" s="12">
        <v>326.2</v>
      </c>
      <c r="M424" s="12">
        <f t="shared" si="32"/>
        <v>1328.1</v>
      </c>
      <c r="N424" s="14">
        <f t="shared" si="33"/>
        <v>349.5</v>
      </c>
      <c r="O424" s="14" t="str">
        <f t="shared" si="34"/>
        <v>F</v>
      </c>
    </row>
    <row r="425" spans="1:15" ht="14.4" x14ac:dyDescent="0.3">
      <c r="A425" s="10">
        <v>45398</v>
      </c>
      <c r="B425" s="11" t="str">
        <f t="shared" si="30"/>
        <v>2024</v>
      </c>
      <c r="C425" s="11" t="str">
        <f t="shared" si="31"/>
        <v>Apr</v>
      </c>
      <c r="D425" s="12">
        <v>1289</v>
      </c>
      <c r="E425" s="12" t="s">
        <v>37</v>
      </c>
      <c r="F425" s="12" t="s">
        <v>20</v>
      </c>
      <c r="G425" s="12" t="s">
        <v>28</v>
      </c>
      <c r="H425" s="12" t="s">
        <v>22</v>
      </c>
      <c r="I425" s="12">
        <v>5</v>
      </c>
      <c r="J425" s="12">
        <v>375</v>
      </c>
      <c r="K425" s="13">
        <v>0.3</v>
      </c>
      <c r="L425" s="12">
        <v>262.5</v>
      </c>
      <c r="M425" s="12">
        <f t="shared" si="32"/>
        <v>1312.5</v>
      </c>
      <c r="N425" s="14">
        <f t="shared" si="33"/>
        <v>0</v>
      </c>
      <c r="O425" s="14" t="str">
        <f t="shared" si="34"/>
        <v>F</v>
      </c>
    </row>
    <row r="426" spans="1:15" ht="14.4" x14ac:dyDescent="0.3">
      <c r="A426" s="10">
        <v>45398</v>
      </c>
      <c r="B426" s="11" t="str">
        <f t="shared" si="30"/>
        <v>2024</v>
      </c>
      <c r="C426" s="11" t="str">
        <f t="shared" si="31"/>
        <v>Apr</v>
      </c>
      <c r="D426" s="12">
        <v>1062</v>
      </c>
      <c r="E426" s="12" t="s">
        <v>39</v>
      </c>
      <c r="F426" s="12" t="s">
        <v>38</v>
      </c>
      <c r="G426" s="12" t="s">
        <v>25</v>
      </c>
      <c r="H426" s="12" t="s">
        <v>40</v>
      </c>
      <c r="I426" s="12">
        <v>4</v>
      </c>
      <c r="J426" s="12">
        <v>395</v>
      </c>
      <c r="K426" s="13">
        <v>0.25</v>
      </c>
      <c r="L426" s="12">
        <v>276.5</v>
      </c>
      <c r="M426" s="12">
        <f t="shared" si="32"/>
        <v>1185</v>
      </c>
      <c r="N426" s="14">
        <f t="shared" si="33"/>
        <v>79</v>
      </c>
      <c r="O426" s="14" t="str">
        <f t="shared" si="34"/>
        <v>F</v>
      </c>
    </row>
    <row r="427" spans="1:15" ht="14.4" x14ac:dyDescent="0.3">
      <c r="A427" s="10">
        <v>45397</v>
      </c>
      <c r="B427" s="11" t="str">
        <f t="shared" si="30"/>
        <v>2024</v>
      </c>
      <c r="C427" s="11" t="str">
        <f t="shared" si="31"/>
        <v>Apr</v>
      </c>
      <c r="D427" s="12">
        <v>1002</v>
      </c>
      <c r="E427" s="12" t="s">
        <v>19</v>
      </c>
      <c r="F427" s="12" t="s">
        <v>24</v>
      </c>
      <c r="G427" s="12" t="s">
        <v>25</v>
      </c>
      <c r="H427" s="12" t="s">
        <v>31</v>
      </c>
      <c r="I427" s="12">
        <v>1</v>
      </c>
      <c r="J427" s="12">
        <v>485</v>
      </c>
      <c r="K427" s="13">
        <v>0.25</v>
      </c>
      <c r="L427" s="12">
        <v>339.5</v>
      </c>
      <c r="M427" s="12">
        <f t="shared" si="32"/>
        <v>363.75</v>
      </c>
      <c r="N427" s="14">
        <f t="shared" si="33"/>
        <v>24.25</v>
      </c>
      <c r="O427" s="14" t="str">
        <f t="shared" si="34"/>
        <v>F</v>
      </c>
    </row>
    <row r="428" spans="1:15" ht="14.4" x14ac:dyDescent="0.3">
      <c r="A428" s="10">
        <v>45397</v>
      </c>
      <c r="B428" s="11" t="str">
        <f t="shared" si="30"/>
        <v>2024</v>
      </c>
      <c r="C428" s="11" t="str">
        <f t="shared" si="31"/>
        <v>Apr</v>
      </c>
      <c r="D428" s="12">
        <v>1432</v>
      </c>
      <c r="E428" s="12" t="s">
        <v>35</v>
      </c>
      <c r="F428" s="12" t="s">
        <v>24</v>
      </c>
      <c r="G428" s="12" t="s">
        <v>33</v>
      </c>
      <c r="H428" s="12" t="s">
        <v>31</v>
      </c>
      <c r="I428" s="12">
        <v>8</v>
      </c>
      <c r="J428" s="12">
        <v>210</v>
      </c>
      <c r="K428" s="13">
        <v>0.2</v>
      </c>
      <c r="L428" s="12">
        <v>147</v>
      </c>
      <c r="M428" s="12">
        <f t="shared" si="32"/>
        <v>1344</v>
      </c>
      <c r="N428" s="14">
        <f t="shared" si="33"/>
        <v>168</v>
      </c>
      <c r="O428" s="14" t="str">
        <f t="shared" si="34"/>
        <v>F</v>
      </c>
    </row>
    <row r="429" spans="1:15" ht="14.4" x14ac:dyDescent="0.3">
      <c r="A429" s="10">
        <v>45397</v>
      </c>
      <c r="B429" s="11" t="str">
        <f t="shared" si="30"/>
        <v>2024</v>
      </c>
      <c r="C429" s="11" t="str">
        <f t="shared" si="31"/>
        <v>Apr</v>
      </c>
      <c r="D429" s="12">
        <v>1465</v>
      </c>
      <c r="E429" s="12" t="s">
        <v>19</v>
      </c>
      <c r="F429" s="12" t="s">
        <v>16</v>
      </c>
      <c r="G429" s="12" t="s">
        <v>34</v>
      </c>
      <c r="H429" s="12" t="s">
        <v>36</v>
      </c>
      <c r="I429" s="12">
        <v>4</v>
      </c>
      <c r="J429" s="12">
        <v>404</v>
      </c>
      <c r="K429" s="13">
        <v>0.15</v>
      </c>
      <c r="L429" s="12">
        <v>282.8</v>
      </c>
      <c r="M429" s="12">
        <f t="shared" si="32"/>
        <v>1373.6</v>
      </c>
      <c r="N429" s="14">
        <f t="shared" si="33"/>
        <v>242.39999999999986</v>
      </c>
      <c r="O429" s="14" t="str">
        <f t="shared" si="34"/>
        <v>F</v>
      </c>
    </row>
    <row r="430" spans="1:15" ht="14.4" x14ac:dyDescent="0.3">
      <c r="A430" s="10">
        <v>45396</v>
      </c>
      <c r="B430" s="11" t="str">
        <f t="shared" si="30"/>
        <v>2024</v>
      </c>
      <c r="C430" s="11" t="str">
        <f t="shared" si="31"/>
        <v>Apr</v>
      </c>
      <c r="D430" s="12">
        <v>1257</v>
      </c>
      <c r="E430" s="12" t="s">
        <v>19</v>
      </c>
      <c r="F430" s="12" t="s">
        <v>24</v>
      </c>
      <c r="G430" s="12" t="s">
        <v>28</v>
      </c>
      <c r="H430" s="12" t="s">
        <v>36</v>
      </c>
      <c r="I430" s="12">
        <v>10</v>
      </c>
      <c r="J430" s="12">
        <v>274</v>
      </c>
      <c r="K430" s="13">
        <v>0.05</v>
      </c>
      <c r="L430" s="12">
        <v>191.8</v>
      </c>
      <c r="M430" s="12">
        <f t="shared" si="32"/>
        <v>2603</v>
      </c>
      <c r="N430" s="14">
        <f t="shared" si="33"/>
        <v>685</v>
      </c>
      <c r="O430" s="14" t="str">
        <f t="shared" si="34"/>
        <v>F</v>
      </c>
    </row>
    <row r="431" spans="1:15" ht="14.4" x14ac:dyDescent="0.3">
      <c r="A431" s="10">
        <v>45396</v>
      </c>
      <c r="B431" s="11" t="str">
        <f t="shared" si="30"/>
        <v>2024</v>
      </c>
      <c r="C431" s="11" t="str">
        <f t="shared" si="31"/>
        <v>Apr</v>
      </c>
      <c r="D431" s="12">
        <v>1385</v>
      </c>
      <c r="E431" s="12" t="s">
        <v>27</v>
      </c>
      <c r="F431" s="12" t="s">
        <v>24</v>
      </c>
      <c r="G431" s="12" t="s">
        <v>21</v>
      </c>
      <c r="H431" s="12" t="s">
        <v>29</v>
      </c>
      <c r="I431" s="12">
        <v>4</v>
      </c>
      <c r="J431" s="12">
        <v>71</v>
      </c>
      <c r="K431" s="13">
        <v>0.1</v>
      </c>
      <c r="L431" s="12">
        <v>49.7</v>
      </c>
      <c r="M431" s="12">
        <f t="shared" si="32"/>
        <v>255.6</v>
      </c>
      <c r="N431" s="14">
        <f t="shared" si="33"/>
        <v>56.799999999999983</v>
      </c>
      <c r="O431" s="14" t="str">
        <f t="shared" si="34"/>
        <v>F</v>
      </c>
    </row>
    <row r="432" spans="1:15" ht="14.4" x14ac:dyDescent="0.3">
      <c r="A432" s="10">
        <v>45390</v>
      </c>
      <c r="B432" s="11" t="str">
        <f t="shared" si="30"/>
        <v>2024</v>
      </c>
      <c r="C432" s="11" t="str">
        <f t="shared" si="31"/>
        <v>Apr</v>
      </c>
      <c r="D432" s="12">
        <v>1420</v>
      </c>
      <c r="E432" s="12" t="s">
        <v>19</v>
      </c>
      <c r="F432" s="12" t="s">
        <v>24</v>
      </c>
      <c r="G432" s="12" t="s">
        <v>33</v>
      </c>
      <c r="H432" s="12" t="s">
        <v>18</v>
      </c>
      <c r="I432" s="12">
        <v>10</v>
      </c>
      <c r="J432" s="12">
        <v>86</v>
      </c>
      <c r="K432" s="13">
        <v>0.3</v>
      </c>
      <c r="L432" s="12">
        <v>60.2</v>
      </c>
      <c r="M432" s="12">
        <f t="shared" si="32"/>
        <v>602</v>
      </c>
      <c r="N432" s="14">
        <f t="shared" si="33"/>
        <v>0</v>
      </c>
      <c r="O432" s="14" t="str">
        <f t="shared" si="34"/>
        <v>F</v>
      </c>
    </row>
    <row r="433" spans="1:15" ht="14.4" x14ac:dyDescent="0.3">
      <c r="A433" s="10">
        <v>45389</v>
      </c>
      <c r="B433" s="11" t="str">
        <f t="shared" si="30"/>
        <v>2024</v>
      </c>
      <c r="C433" s="11" t="str">
        <f t="shared" si="31"/>
        <v>Apr</v>
      </c>
      <c r="D433" s="12">
        <v>1036</v>
      </c>
      <c r="E433" s="12" t="s">
        <v>37</v>
      </c>
      <c r="F433" s="12" t="s">
        <v>38</v>
      </c>
      <c r="G433" s="12" t="s">
        <v>34</v>
      </c>
      <c r="H433" s="12" t="s">
        <v>31</v>
      </c>
      <c r="I433" s="12">
        <v>7</v>
      </c>
      <c r="J433" s="12">
        <v>108</v>
      </c>
      <c r="K433" s="13">
        <v>0.05</v>
      </c>
      <c r="L433" s="12">
        <v>75.599999999999994</v>
      </c>
      <c r="M433" s="12">
        <f t="shared" si="32"/>
        <v>718.19999999999993</v>
      </c>
      <c r="N433" s="14">
        <f t="shared" si="33"/>
        <v>189</v>
      </c>
      <c r="O433" s="14" t="str">
        <f t="shared" si="34"/>
        <v>F</v>
      </c>
    </row>
    <row r="434" spans="1:15" ht="14.4" x14ac:dyDescent="0.3">
      <c r="A434" s="10">
        <v>45386</v>
      </c>
      <c r="B434" s="11" t="str">
        <f t="shared" si="30"/>
        <v>2024</v>
      </c>
      <c r="C434" s="11" t="str">
        <f t="shared" si="31"/>
        <v>Apr</v>
      </c>
      <c r="D434" s="12">
        <v>1431</v>
      </c>
      <c r="E434" s="12" t="s">
        <v>32</v>
      </c>
      <c r="F434" s="12" t="s">
        <v>20</v>
      </c>
      <c r="G434" s="12" t="s">
        <v>21</v>
      </c>
      <c r="H434" s="12" t="s">
        <v>36</v>
      </c>
      <c r="I434" s="12">
        <v>5</v>
      </c>
      <c r="J434" s="12">
        <v>465</v>
      </c>
      <c r="K434" s="13">
        <v>0.2</v>
      </c>
      <c r="L434" s="12">
        <v>325.5</v>
      </c>
      <c r="M434" s="12">
        <f t="shared" si="32"/>
        <v>1860</v>
      </c>
      <c r="N434" s="14">
        <f t="shared" si="33"/>
        <v>232.5</v>
      </c>
      <c r="O434" s="14" t="str">
        <f t="shared" si="34"/>
        <v>F</v>
      </c>
    </row>
    <row r="435" spans="1:15" ht="14.4" x14ac:dyDescent="0.3">
      <c r="A435" s="10">
        <v>45386</v>
      </c>
      <c r="B435" s="11" t="str">
        <f t="shared" si="30"/>
        <v>2024</v>
      </c>
      <c r="C435" s="11" t="str">
        <f t="shared" si="31"/>
        <v>Apr</v>
      </c>
      <c r="D435" s="12">
        <v>1141</v>
      </c>
      <c r="E435" s="12" t="s">
        <v>15</v>
      </c>
      <c r="F435" s="12" t="s">
        <v>24</v>
      </c>
      <c r="G435" s="12" t="s">
        <v>28</v>
      </c>
      <c r="H435" s="12" t="s">
        <v>22</v>
      </c>
      <c r="I435" s="12">
        <v>10</v>
      </c>
      <c r="J435" s="12">
        <v>97</v>
      </c>
      <c r="K435" s="13">
        <v>0.05</v>
      </c>
      <c r="L435" s="12">
        <v>67.899999999999991</v>
      </c>
      <c r="M435" s="12">
        <f t="shared" si="32"/>
        <v>921.5</v>
      </c>
      <c r="N435" s="14">
        <f t="shared" si="33"/>
        <v>242.50000000000011</v>
      </c>
      <c r="O435" s="14" t="str">
        <f t="shared" si="34"/>
        <v>F</v>
      </c>
    </row>
    <row r="436" spans="1:15" ht="14.4" x14ac:dyDescent="0.3">
      <c r="A436" s="10">
        <v>45385</v>
      </c>
      <c r="B436" s="11" t="str">
        <f t="shared" si="30"/>
        <v>2024</v>
      </c>
      <c r="C436" s="11" t="str">
        <f t="shared" si="31"/>
        <v>Apr</v>
      </c>
      <c r="D436" s="12">
        <v>1181</v>
      </c>
      <c r="E436" s="12" t="s">
        <v>23</v>
      </c>
      <c r="F436" s="12" t="s">
        <v>20</v>
      </c>
      <c r="G436" s="12" t="s">
        <v>28</v>
      </c>
      <c r="H436" s="12" t="s">
        <v>31</v>
      </c>
      <c r="I436" s="12">
        <v>3</v>
      </c>
      <c r="J436" s="12">
        <v>192</v>
      </c>
      <c r="K436" s="13">
        <v>0.15</v>
      </c>
      <c r="L436" s="12">
        <v>134.4</v>
      </c>
      <c r="M436" s="12">
        <f t="shared" si="32"/>
        <v>489.59999999999997</v>
      </c>
      <c r="N436" s="14">
        <f t="shared" si="33"/>
        <v>86.39999999999992</v>
      </c>
      <c r="O436" s="14" t="str">
        <f t="shared" si="34"/>
        <v>F</v>
      </c>
    </row>
    <row r="437" spans="1:15" ht="14.4" x14ac:dyDescent="0.3">
      <c r="A437" s="10">
        <v>45385</v>
      </c>
      <c r="B437" s="11" t="str">
        <f t="shared" si="30"/>
        <v>2024</v>
      </c>
      <c r="C437" s="11" t="str">
        <f t="shared" si="31"/>
        <v>Apr</v>
      </c>
      <c r="D437" s="12">
        <v>1167</v>
      </c>
      <c r="E437" s="12" t="s">
        <v>42</v>
      </c>
      <c r="F437" s="12" t="s">
        <v>24</v>
      </c>
      <c r="G437" s="12" t="s">
        <v>28</v>
      </c>
      <c r="H437" s="12" t="s">
        <v>41</v>
      </c>
      <c r="I437" s="12">
        <v>8</v>
      </c>
      <c r="J437" s="12">
        <v>91</v>
      </c>
      <c r="K437" s="13">
        <v>0.15</v>
      </c>
      <c r="L437" s="12">
        <v>63.7</v>
      </c>
      <c r="M437" s="12">
        <f t="shared" si="32"/>
        <v>618.79999999999995</v>
      </c>
      <c r="N437" s="14">
        <f t="shared" si="33"/>
        <v>109.19999999999993</v>
      </c>
      <c r="O437" s="14" t="str">
        <f t="shared" si="34"/>
        <v>F</v>
      </c>
    </row>
    <row r="438" spans="1:15" ht="14.4" x14ac:dyDescent="0.3">
      <c r="A438" s="10">
        <v>45382</v>
      </c>
      <c r="B438" s="11" t="str">
        <f t="shared" si="30"/>
        <v>2024</v>
      </c>
      <c r="C438" s="11" t="str">
        <f t="shared" si="31"/>
        <v>Mar</v>
      </c>
      <c r="D438" s="12">
        <v>1301</v>
      </c>
      <c r="E438" s="12" t="s">
        <v>39</v>
      </c>
      <c r="F438" s="12" t="s">
        <v>20</v>
      </c>
      <c r="G438" s="12" t="s">
        <v>28</v>
      </c>
      <c r="H438" s="12" t="s">
        <v>41</v>
      </c>
      <c r="I438" s="12">
        <v>9</v>
      </c>
      <c r="J438" s="12">
        <v>248</v>
      </c>
      <c r="K438" s="13">
        <v>0.3</v>
      </c>
      <c r="L438" s="12">
        <v>173.6</v>
      </c>
      <c r="M438" s="12">
        <f t="shared" si="32"/>
        <v>1562.3999999999999</v>
      </c>
      <c r="N438" s="14">
        <f t="shared" si="33"/>
        <v>0</v>
      </c>
      <c r="O438" s="14" t="str">
        <f t="shared" si="34"/>
        <v>F</v>
      </c>
    </row>
    <row r="439" spans="1:15" ht="14.4" x14ac:dyDescent="0.3">
      <c r="A439" s="10">
        <v>45379</v>
      </c>
      <c r="B439" s="11" t="str">
        <f t="shared" si="30"/>
        <v>2024</v>
      </c>
      <c r="C439" s="11" t="str">
        <f t="shared" si="31"/>
        <v>Mar</v>
      </c>
      <c r="D439" s="12">
        <v>1079</v>
      </c>
      <c r="E439" s="12" t="s">
        <v>23</v>
      </c>
      <c r="F439" s="12" t="s">
        <v>20</v>
      </c>
      <c r="G439" s="12" t="s">
        <v>17</v>
      </c>
      <c r="H439" s="12" t="s">
        <v>18</v>
      </c>
      <c r="I439" s="12">
        <v>5</v>
      </c>
      <c r="J439" s="12">
        <v>51</v>
      </c>
      <c r="K439" s="13">
        <v>0.25</v>
      </c>
      <c r="L439" s="12">
        <v>35.700000000000003</v>
      </c>
      <c r="M439" s="12">
        <f t="shared" si="32"/>
        <v>191.25</v>
      </c>
      <c r="N439" s="14">
        <f t="shared" si="33"/>
        <v>12.75</v>
      </c>
      <c r="O439" s="14" t="str">
        <f t="shared" si="34"/>
        <v>F</v>
      </c>
    </row>
    <row r="440" spans="1:15" ht="14.4" x14ac:dyDescent="0.3">
      <c r="A440" s="10">
        <v>45379</v>
      </c>
      <c r="B440" s="11" t="str">
        <f t="shared" si="30"/>
        <v>2024</v>
      </c>
      <c r="C440" s="11" t="str">
        <f t="shared" si="31"/>
        <v>Mar</v>
      </c>
      <c r="D440" s="12">
        <v>1469</v>
      </c>
      <c r="E440" s="12" t="s">
        <v>35</v>
      </c>
      <c r="F440" s="12" t="s">
        <v>20</v>
      </c>
      <c r="G440" s="12" t="s">
        <v>17</v>
      </c>
      <c r="H440" s="12" t="s">
        <v>18</v>
      </c>
      <c r="I440" s="12">
        <v>5</v>
      </c>
      <c r="J440" s="12">
        <v>62</v>
      </c>
      <c r="K440" s="13">
        <v>0.1</v>
      </c>
      <c r="L440" s="12">
        <v>43.4</v>
      </c>
      <c r="M440" s="12">
        <f t="shared" si="32"/>
        <v>279</v>
      </c>
      <c r="N440" s="14">
        <f t="shared" si="33"/>
        <v>62</v>
      </c>
      <c r="O440" s="14" t="str">
        <f t="shared" si="34"/>
        <v>F</v>
      </c>
    </row>
    <row r="441" spans="1:15" ht="14.4" x14ac:dyDescent="0.3">
      <c r="A441" s="10">
        <v>45379</v>
      </c>
      <c r="B441" s="11" t="str">
        <f t="shared" si="30"/>
        <v>2024</v>
      </c>
      <c r="C441" s="11" t="str">
        <f t="shared" si="31"/>
        <v>Mar</v>
      </c>
      <c r="D441" s="12">
        <v>1253</v>
      </c>
      <c r="E441" s="12" t="s">
        <v>23</v>
      </c>
      <c r="F441" s="12" t="s">
        <v>38</v>
      </c>
      <c r="G441" s="12" t="s">
        <v>28</v>
      </c>
      <c r="H441" s="12" t="s">
        <v>36</v>
      </c>
      <c r="I441" s="12">
        <v>3</v>
      </c>
      <c r="J441" s="12">
        <v>269</v>
      </c>
      <c r="K441" s="13">
        <v>0.25</v>
      </c>
      <c r="L441" s="12">
        <v>188.3</v>
      </c>
      <c r="M441" s="12">
        <f t="shared" si="32"/>
        <v>605.25</v>
      </c>
      <c r="N441" s="14">
        <f t="shared" si="33"/>
        <v>40.349999999999909</v>
      </c>
      <c r="O441" s="14" t="str">
        <f t="shared" si="34"/>
        <v>F</v>
      </c>
    </row>
    <row r="442" spans="1:15" ht="14.4" x14ac:dyDescent="0.3">
      <c r="A442" s="10">
        <v>45377</v>
      </c>
      <c r="B442" s="11" t="str">
        <f t="shared" si="30"/>
        <v>2024</v>
      </c>
      <c r="C442" s="11" t="str">
        <f t="shared" si="31"/>
        <v>Mar</v>
      </c>
      <c r="D442" s="12">
        <v>1419</v>
      </c>
      <c r="E442" s="12" t="s">
        <v>30</v>
      </c>
      <c r="F442" s="12" t="s">
        <v>38</v>
      </c>
      <c r="G442" s="12" t="s">
        <v>28</v>
      </c>
      <c r="H442" s="12" t="s">
        <v>36</v>
      </c>
      <c r="I442" s="12">
        <v>10</v>
      </c>
      <c r="J442" s="12">
        <v>282</v>
      </c>
      <c r="K442" s="13">
        <v>0.2</v>
      </c>
      <c r="L442" s="12">
        <v>197.4</v>
      </c>
      <c r="M442" s="12">
        <f t="shared" si="32"/>
        <v>2256</v>
      </c>
      <c r="N442" s="14">
        <f t="shared" si="33"/>
        <v>282</v>
      </c>
      <c r="O442" s="14" t="str">
        <f t="shared" si="34"/>
        <v>F</v>
      </c>
    </row>
    <row r="443" spans="1:15" ht="14.4" x14ac:dyDescent="0.3">
      <c r="A443" s="10">
        <v>45376</v>
      </c>
      <c r="B443" s="11" t="str">
        <f t="shared" si="30"/>
        <v>2024</v>
      </c>
      <c r="C443" s="11" t="str">
        <f t="shared" si="31"/>
        <v>Mar</v>
      </c>
      <c r="D443" s="12">
        <v>1048</v>
      </c>
      <c r="E443" s="12" t="s">
        <v>42</v>
      </c>
      <c r="F443" s="12" t="s">
        <v>20</v>
      </c>
      <c r="G443" s="12" t="s">
        <v>34</v>
      </c>
      <c r="H443" s="12" t="s">
        <v>18</v>
      </c>
      <c r="I443" s="12">
        <v>6</v>
      </c>
      <c r="J443" s="12">
        <v>369</v>
      </c>
      <c r="K443" s="13">
        <v>0.05</v>
      </c>
      <c r="L443" s="12">
        <v>258.3</v>
      </c>
      <c r="M443" s="12">
        <f t="shared" si="32"/>
        <v>2103.2999999999997</v>
      </c>
      <c r="N443" s="14">
        <f t="shared" si="33"/>
        <v>553.49999999999955</v>
      </c>
      <c r="O443" s="14" t="str">
        <f t="shared" si="34"/>
        <v>F</v>
      </c>
    </row>
    <row r="444" spans="1:15" ht="14.4" x14ac:dyDescent="0.3">
      <c r="A444" s="10">
        <v>45376</v>
      </c>
      <c r="B444" s="11" t="str">
        <f t="shared" si="30"/>
        <v>2024</v>
      </c>
      <c r="C444" s="11" t="str">
        <f t="shared" si="31"/>
        <v>Mar</v>
      </c>
      <c r="D444" s="12">
        <v>1370</v>
      </c>
      <c r="E444" s="12" t="s">
        <v>19</v>
      </c>
      <c r="F444" s="12" t="s">
        <v>38</v>
      </c>
      <c r="G444" s="12" t="s">
        <v>25</v>
      </c>
      <c r="H444" s="12" t="s">
        <v>36</v>
      </c>
      <c r="I444" s="12">
        <v>2</v>
      </c>
      <c r="J444" s="12">
        <v>447</v>
      </c>
      <c r="K444" s="13">
        <v>0.3</v>
      </c>
      <c r="L444" s="12">
        <v>312.89999999999998</v>
      </c>
      <c r="M444" s="12">
        <f t="shared" si="32"/>
        <v>625.79999999999995</v>
      </c>
      <c r="N444" s="14">
        <f t="shared" si="33"/>
        <v>0</v>
      </c>
      <c r="O444" s="14" t="str">
        <f t="shared" si="34"/>
        <v>F</v>
      </c>
    </row>
    <row r="445" spans="1:15" ht="14.4" x14ac:dyDescent="0.3">
      <c r="A445" s="10">
        <v>45375</v>
      </c>
      <c r="B445" s="11" t="str">
        <f t="shared" si="30"/>
        <v>2024</v>
      </c>
      <c r="C445" s="11" t="str">
        <f t="shared" si="31"/>
        <v>Mar</v>
      </c>
      <c r="D445" s="12">
        <v>1207</v>
      </c>
      <c r="E445" s="12" t="s">
        <v>39</v>
      </c>
      <c r="F445" s="12" t="s">
        <v>16</v>
      </c>
      <c r="G445" s="12" t="s">
        <v>17</v>
      </c>
      <c r="H445" s="12" t="s">
        <v>40</v>
      </c>
      <c r="I445" s="12">
        <v>5</v>
      </c>
      <c r="J445" s="12">
        <v>397</v>
      </c>
      <c r="K445" s="13">
        <v>0.3</v>
      </c>
      <c r="L445" s="12">
        <v>277.89999999999998</v>
      </c>
      <c r="M445" s="12">
        <f t="shared" si="32"/>
        <v>1389.5</v>
      </c>
      <c r="N445" s="14">
        <f t="shared" si="33"/>
        <v>0</v>
      </c>
      <c r="O445" s="14" t="str">
        <f t="shared" si="34"/>
        <v>F</v>
      </c>
    </row>
    <row r="446" spans="1:15" ht="14.4" x14ac:dyDescent="0.3">
      <c r="A446" s="10">
        <v>45371</v>
      </c>
      <c r="B446" s="11" t="str">
        <f t="shared" si="30"/>
        <v>2024</v>
      </c>
      <c r="C446" s="11" t="str">
        <f t="shared" si="31"/>
        <v>Mar</v>
      </c>
      <c r="D446" s="12">
        <v>1244</v>
      </c>
      <c r="E446" s="12" t="s">
        <v>37</v>
      </c>
      <c r="F446" s="12" t="s">
        <v>38</v>
      </c>
      <c r="G446" s="12" t="s">
        <v>21</v>
      </c>
      <c r="H446" s="12" t="s">
        <v>29</v>
      </c>
      <c r="I446" s="12">
        <v>8</v>
      </c>
      <c r="J446" s="12">
        <v>162</v>
      </c>
      <c r="K446" s="13">
        <v>0.15</v>
      </c>
      <c r="L446" s="12">
        <v>113.4</v>
      </c>
      <c r="M446" s="12">
        <f t="shared" si="32"/>
        <v>1101.5999999999999</v>
      </c>
      <c r="N446" s="14">
        <f t="shared" si="33"/>
        <v>194.39999999999986</v>
      </c>
      <c r="O446" s="14" t="str">
        <f t="shared" si="34"/>
        <v>F</v>
      </c>
    </row>
    <row r="447" spans="1:15" ht="14.4" x14ac:dyDescent="0.3">
      <c r="A447" s="10">
        <v>45363</v>
      </c>
      <c r="B447" s="11" t="str">
        <f t="shared" si="30"/>
        <v>2024</v>
      </c>
      <c r="C447" s="11" t="str">
        <f t="shared" si="31"/>
        <v>Mar</v>
      </c>
      <c r="D447" s="12">
        <v>1108</v>
      </c>
      <c r="E447" s="12" t="s">
        <v>19</v>
      </c>
      <c r="F447" s="12" t="s">
        <v>20</v>
      </c>
      <c r="G447" s="12" t="s">
        <v>17</v>
      </c>
      <c r="H447" s="12" t="s">
        <v>31</v>
      </c>
      <c r="I447" s="12">
        <v>8</v>
      </c>
      <c r="J447" s="12">
        <v>266</v>
      </c>
      <c r="K447" s="13">
        <v>0.2</v>
      </c>
      <c r="L447" s="12">
        <v>186.2</v>
      </c>
      <c r="M447" s="12">
        <f t="shared" si="32"/>
        <v>1702.4</v>
      </c>
      <c r="N447" s="14">
        <f t="shared" si="33"/>
        <v>212.80000000000018</v>
      </c>
      <c r="O447" s="14" t="str">
        <f t="shared" si="34"/>
        <v>F</v>
      </c>
    </row>
    <row r="448" spans="1:15" ht="14.4" x14ac:dyDescent="0.3">
      <c r="A448" s="10">
        <v>45362</v>
      </c>
      <c r="B448" s="11" t="str">
        <f t="shared" si="30"/>
        <v>2024</v>
      </c>
      <c r="C448" s="11" t="str">
        <f t="shared" si="31"/>
        <v>Mar</v>
      </c>
      <c r="D448" s="12">
        <v>1279</v>
      </c>
      <c r="E448" s="12" t="s">
        <v>39</v>
      </c>
      <c r="F448" s="12" t="s">
        <v>16</v>
      </c>
      <c r="G448" s="12" t="s">
        <v>28</v>
      </c>
      <c r="H448" s="12" t="s">
        <v>41</v>
      </c>
      <c r="I448" s="12">
        <v>10</v>
      </c>
      <c r="J448" s="12">
        <v>421</v>
      </c>
      <c r="K448" s="13">
        <v>0.3</v>
      </c>
      <c r="L448" s="12">
        <v>294.7</v>
      </c>
      <c r="M448" s="12">
        <f t="shared" si="32"/>
        <v>2947</v>
      </c>
      <c r="N448" s="14">
        <f t="shared" si="33"/>
        <v>0</v>
      </c>
      <c r="O448" s="14" t="str">
        <f t="shared" si="34"/>
        <v>F</v>
      </c>
    </row>
    <row r="449" spans="1:15" ht="14.4" x14ac:dyDescent="0.3">
      <c r="A449" s="10">
        <v>45361</v>
      </c>
      <c r="B449" s="11" t="str">
        <f t="shared" si="30"/>
        <v>2024</v>
      </c>
      <c r="C449" s="11" t="str">
        <f t="shared" si="31"/>
        <v>Mar</v>
      </c>
      <c r="D449" s="12">
        <v>1213</v>
      </c>
      <c r="E449" s="12" t="s">
        <v>37</v>
      </c>
      <c r="F449" s="12" t="s">
        <v>24</v>
      </c>
      <c r="G449" s="12" t="s">
        <v>17</v>
      </c>
      <c r="H449" s="12" t="s">
        <v>31</v>
      </c>
      <c r="I449" s="12">
        <v>2</v>
      </c>
      <c r="J449" s="12">
        <v>332</v>
      </c>
      <c r="K449" s="13">
        <v>0.05</v>
      </c>
      <c r="L449" s="12">
        <v>232.4</v>
      </c>
      <c r="M449" s="12">
        <f t="shared" si="32"/>
        <v>630.79999999999995</v>
      </c>
      <c r="N449" s="14">
        <f t="shared" si="33"/>
        <v>165.99999999999994</v>
      </c>
      <c r="O449" s="14" t="str">
        <f t="shared" si="34"/>
        <v>F</v>
      </c>
    </row>
    <row r="450" spans="1:15" ht="14.4" x14ac:dyDescent="0.3">
      <c r="A450" s="10">
        <v>45360</v>
      </c>
      <c r="B450" s="11" t="str">
        <f t="shared" ref="B450:B501" si="35">TEXT(A450,"yyyy")</f>
        <v>2024</v>
      </c>
      <c r="C450" s="11" t="str">
        <f t="shared" ref="C450:C501" si="36">TEXT(A450,"mmm")</f>
        <v>Mar</v>
      </c>
      <c r="D450" s="12">
        <v>1250</v>
      </c>
      <c r="E450" s="12" t="s">
        <v>39</v>
      </c>
      <c r="F450" s="12" t="s">
        <v>24</v>
      </c>
      <c r="G450" s="12" t="s">
        <v>25</v>
      </c>
      <c r="H450" s="12" t="s">
        <v>31</v>
      </c>
      <c r="I450" s="12">
        <v>5</v>
      </c>
      <c r="J450" s="12">
        <v>162</v>
      </c>
      <c r="K450" s="13">
        <v>0.2</v>
      </c>
      <c r="L450" s="12">
        <v>113.4</v>
      </c>
      <c r="M450" s="12">
        <f t="shared" ref="M450:M501" si="37">I450*J450*(1-K450)</f>
        <v>648</v>
      </c>
      <c r="N450" s="14">
        <f t="shared" ref="N450:N501" si="38">M450-L450*I450</f>
        <v>81</v>
      </c>
      <c r="O450" s="14" t="str">
        <f t="shared" ref="O450:O501" si="39">IF(COUNTIF(E450:E949,E450)&gt;1,"F","O")</f>
        <v>F</v>
      </c>
    </row>
    <row r="451" spans="1:15" ht="14.4" x14ac:dyDescent="0.3">
      <c r="A451" s="10">
        <v>45358</v>
      </c>
      <c r="B451" s="11" t="str">
        <f t="shared" si="35"/>
        <v>2024</v>
      </c>
      <c r="C451" s="11" t="str">
        <f t="shared" si="36"/>
        <v>Mar</v>
      </c>
      <c r="D451" s="12">
        <v>1377</v>
      </c>
      <c r="E451" s="12" t="s">
        <v>19</v>
      </c>
      <c r="F451" s="12" t="s">
        <v>24</v>
      </c>
      <c r="G451" s="12" t="s">
        <v>17</v>
      </c>
      <c r="H451" s="12" t="s">
        <v>26</v>
      </c>
      <c r="I451" s="12">
        <v>1</v>
      </c>
      <c r="J451" s="12">
        <v>244</v>
      </c>
      <c r="K451" s="13">
        <v>0.15</v>
      </c>
      <c r="L451" s="12">
        <v>170.8</v>
      </c>
      <c r="M451" s="12">
        <f t="shared" si="37"/>
        <v>207.4</v>
      </c>
      <c r="N451" s="14">
        <f t="shared" si="38"/>
        <v>36.599999999999994</v>
      </c>
      <c r="O451" s="14" t="str">
        <f t="shared" si="39"/>
        <v>F</v>
      </c>
    </row>
    <row r="452" spans="1:15" ht="14.4" x14ac:dyDescent="0.3">
      <c r="A452" s="10">
        <v>45357</v>
      </c>
      <c r="B452" s="11" t="str">
        <f t="shared" si="35"/>
        <v>2024</v>
      </c>
      <c r="C452" s="11" t="str">
        <f t="shared" si="36"/>
        <v>Mar</v>
      </c>
      <c r="D452" s="12">
        <v>1438</v>
      </c>
      <c r="E452" s="12" t="s">
        <v>35</v>
      </c>
      <c r="F452" s="12" t="s">
        <v>38</v>
      </c>
      <c r="G452" s="12" t="s">
        <v>34</v>
      </c>
      <c r="H452" s="12" t="s">
        <v>31</v>
      </c>
      <c r="I452" s="12">
        <v>5</v>
      </c>
      <c r="J452" s="12">
        <v>272</v>
      </c>
      <c r="K452" s="13">
        <v>0.2</v>
      </c>
      <c r="L452" s="12">
        <v>190.4</v>
      </c>
      <c r="M452" s="12">
        <f t="shared" si="37"/>
        <v>1088</v>
      </c>
      <c r="N452" s="14">
        <f t="shared" si="38"/>
        <v>136</v>
      </c>
      <c r="O452" s="14" t="str">
        <f t="shared" si="39"/>
        <v>F</v>
      </c>
    </row>
    <row r="453" spans="1:15" ht="14.4" x14ac:dyDescent="0.3">
      <c r="A453" s="10">
        <v>45356</v>
      </c>
      <c r="B453" s="11" t="str">
        <f t="shared" si="35"/>
        <v>2024</v>
      </c>
      <c r="C453" s="11" t="str">
        <f t="shared" si="36"/>
        <v>Mar</v>
      </c>
      <c r="D453" s="12">
        <v>1366</v>
      </c>
      <c r="E453" s="12" t="s">
        <v>37</v>
      </c>
      <c r="F453" s="12" t="s">
        <v>38</v>
      </c>
      <c r="G453" s="12" t="s">
        <v>34</v>
      </c>
      <c r="H453" s="12" t="s">
        <v>40</v>
      </c>
      <c r="I453" s="12">
        <v>7</v>
      </c>
      <c r="J453" s="12">
        <v>218</v>
      </c>
      <c r="K453" s="13">
        <v>0</v>
      </c>
      <c r="L453" s="12">
        <v>152.6</v>
      </c>
      <c r="M453" s="12">
        <f t="shared" si="37"/>
        <v>1526</v>
      </c>
      <c r="N453" s="14">
        <f t="shared" si="38"/>
        <v>457.79999999999995</v>
      </c>
      <c r="O453" s="14" t="str">
        <f t="shared" si="39"/>
        <v>F</v>
      </c>
    </row>
    <row r="454" spans="1:15" ht="14.4" x14ac:dyDescent="0.3">
      <c r="A454" s="10">
        <v>45354</v>
      </c>
      <c r="B454" s="11" t="str">
        <f t="shared" si="35"/>
        <v>2024</v>
      </c>
      <c r="C454" s="11" t="str">
        <f t="shared" si="36"/>
        <v>Mar</v>
      </c>
      <c r="D454" s="12">
        <v>1411</v>
      </c>
      <c r="E454" s="12" t="s">
        <v>27</v>
      </c>
      <c r="F454" s="12" t="s">
        <v>38</v>
      </c>
      <c r="G454" s="12" t="s">
        <v>28</v>
      </c>
      <c r="H454" s="12" t="s">
        <v>26</v>
      </c>
      <c r="I454" s="12">
        <v>1</v>
      </c>
      <c r="J454" s="12">
        <v>221</v>
      </c>
      <c r="K454" s="13">
        <v>0</v>
      </c>
      <c r="L454" s="12">
        <v>154.69999999999999</v>
      </c>
      <c r="M454" s="12">
        <f t="shared" si="37"/>
        <v>221</v>
      </c>
      <c r="N454" s="14">
        <f t="shared" si="38"/>
        <v>66.300000000000011</v>
      </c>
      <c r="O454" s="14" t="str">
        <f t="shared" si="39"/>
        <v>F</v>
      </c>
    </row>
    <row r="455" spans="1:15" ht="14.4" x14ac:dyDescent="0.3">
      <c r="A455" s="10">
        <v>45350</v>
      </c>
      <c r="B455" s="11" t="str">
        <f t="shared" si="35"/>
        <v>2024</v>
      </c>
      <c r="C455" s="11" t="str">
        <f t="shared" si="36"/>
        <v>Feb</v>
      </c>
      <c r="D455" s="12">
        <v>1045</v>
      </c>
      <c r="E455" s="12" t="s">
        <v>32</v>
      </c>
      <c r="F455" s="12" t="s">
        <v>38</v>
      </c>
      <c r="G455" s="12" t="s">
        <v>25</v>
      </c>
      <c r="H455" s="12" t="s">
        <v>40</v>
      </c>
      <c r="I455" s="12">
        <v>1</v>
      </c>
      <c r="J455" s="12">
        <v>413</v>
      </c>
      <c r="K455" s="13">
        <v>0.2</v>
      </c>
      <c r="L455" s="12">
        <v>289.10000000000002</v>
      </c>
      <c r="M455" s="12">
        <f t="shared" si="37"/>
        <v>330.40000000000003</v>
      </c>
      <c r="N455" s="14">
        <f t="shared" si="38"/>
        <v>41.300000000000011</v>
      </c>
      <c r="O455" s="14" t="str">
        <f t="shared" si="39"/>
        <v>F</v>
      </c>
    </row>
    <row r="456" spans="1:15" ht="14.4" x14ac:dyDescent="0.3">
      <c r="A456" s="10">
        <v>45350</v>
      </c>
      <c r="B456" s="11" t="str">
        <f t="shared" si="35"/>
        <v>2024</v>
      </c>
      <c r="C456" s="11" t="str">
        <f t="shared" si="36"/>
        <v>Feb</v>
      </c>
      <c r="D456" s="12">
        <v>1292</v>
      </c>
      <c r="E456" s="12" t="s">
        <v>37</v>
      </c>
      <c r="F456" s="12" t="s">
        <v>38</v>
      </c>
      <c r="G456" s="12" t="s">
        <v>34</v>
      </c>
      <c r="H456" s="12" t="s">
        <v>40</v>
      </c>
      <c r="I456" s="12">
        <v>1</v>
      </c>
      <c r="J456" s="12">
        <v>197</v>
      </c>
      <c r="K456" s="13">
        <v>0.2</v>
      </c>
      <c r="L456" s="12">
        <v>137.9</v>
      </c>
      <c r="M456" s="12">
        <f t="shared" si="37"/>
        <v>157.60000000000002</v>
      </c>
      <c r="N456" s="14">
        <f t="shared" si="38"/>
        <v>19.700000000000017</v>
      </c>
      <c r="O456" s="14" t="str">
        <f t="shared" si="39"/>
        <v>F</v>
      </c>
    </row>
    <row r="457" spans="1:15" ht="14.4" x14ac:dyDescent="0.3">
      <c r="A457" s="10">
        <v>45348</v>
      </c>
      <c r="B457" s="11" t="str">
        <f t="shared" si="35"/>
        <v>2024</v>
      </c>
      <c r="C457" s="11" t="str">
        <f t="shared" si="36"/>
        <v>Feb</v>
      </c>
      <c r="D457" s="12">
        <v>1309</v>
      </c>
      <c r="E457" s="12" t="s">
        <v>37</v>
      </c>
      <c r="F457" s="12" t="s">
        <v>16</v>
      </c>
      <c r="G457" s="12" t="s">
        <v>34</v>
      </c>
      <c r="H457" s="12" t="s">
        <v>40</v>
      </c>
      <c r="I457" s="12">
        <v>3</v>
      </c>
      <c r="J457" s="12">
        <v>178</v>
      </c>
      <c r="K457" s="13">
        <v>0</v>
      </c>
      <c r="L457" s="12">
        <v>124.6</v>
      </c>
      <c r="M457" s="12">
        <f t="shared" si="37"/>
        <v>534</v>
      </c>
      <c r="N457" s="14">
        <f t="shared" si="38"/>
        <v>160.20000000000005</v>
      </c>
      <c r="O457" s="14" t="str">
        <f t="shared" si="39"/>
        <v>F</v>
      </c>
    </row>
    <row r="458" spans="1:15" ht="14.4" x14ac:dyDescent="0.3">
      <c r="A458" s="10">
        <v>45346</v>
      </c>
      <c r="B458" s="11" t="str">
        <f t="shared" si="35"/>
        <v>2024</v>
      </c>
      <c r="C458" s="11" t="str">
        <f t="shared" si="36"/>
        <v>Feb</v>
      </c>
      <c r="D458" s="12">
        <v>1474</v>
      </c>
      <c r="E458" s="12" t="s">
        <v>39</v>
      </c>
      <c r="F458" s="12" t="s">
        <v>24</v>
      </c>
      <c r="G458" s="12" t="s">
        <v>21</v>
      </c>
      <c r="H458" s="12" t="s">
        <v>40</v>
      </c>
      <c r="I458" s="12">
        <v>4</v>
      </c>
      <c r="J458" s="12">
        <v>222</v>
      </c>
      <c r="K458" s="13">
        <v>0.3</v>
      </c>
      <c r="L458" s="12">
        <v>155.4</v>
      </c>
      <c r="M458" s="12">
        <f t="shared" si="37"/>
        <v>621.59999999999991</v>
      </c>
      <c r="N458" s="14">
        <f t="shared" si="38"/>
        <v>0</v>
      </c>
      <c r="O458" s="14" t="str">
        <f t="shared" si="39"/>
        <v>F</v>
      </c>
    </row>
    <row r="459" spans="1:15" ht="14.4" x14ac:dyDescent="0.3">
      <c r="A459" s="10">
        <v>45345</v>
      </c>
      <c r="B459" s="11" t="str">
        <f t="shared" si="35"/>
        <v>2024</v>
      </c>
      <c r="C459" s="11" t="str">
        <f t="shared" si="36"/>
        <v>Feb</v>
      </c>
      <c r="D459" s="12">
        <v>1264</v>
      </c>
      <c r="E459" s="12" t="s">
        <v>30</v>
      </c>
      <c r="F459" s="12" t="s">
        <v>20</v>
      </c>
      <c r="G459" s="12" t="s">
        <v>25</v>
      </c>
      <c r="H459" s="12" t="s">
        <v>41</v>
      </c>
      <c r="I459" s="12">
        <v>9</v>
      </c>
      <c r="J459" s="12">
        <v>267</v>
      </c>
      <c r="K459" s="13">
        <v>0.25</v>
      </c>
      <c r="L459" s="12">
        <v>186.9</v>
      </c>
      <c r="M459" s="12">
        <f t="shared" si="37"/>
        <v>1802.25</v>
      </c>
      <c r="N459" s="14">
        <f t="shared" si="38"/>
        <v>120.14999999999986</v>
      </c>
      <c r="O459" s="14" t="str">
        <f t="shared" si="39"/>
        <v>F</v>
      </c>
    </row>
    <row r="460" spans="1:15" ht="14.4" x14ac:dyDescent="0.3">
      <c r="A460" s="10">
        <v>45345</v>
      </c>
      <c r="B460" s="11" t="str">
        <f t="shared" si="35"/>
        <v>2024</v>
      </c>
      <c r="C460" s="11" t="str">
        <f t="shared" si="36"/>
        <v>Feb</v>
      </c>
      <c r="D460" s="12">
        <v>1101</v>
      </c>
      <c r="E460" s="12" t="s">
        <v>39</v>
      </c>
      <c r="F460" s="12" t="s">
        <v>16</v>
      </c>
      <c r="G460" s="12" t="s">
        <v>28</v>
      </c>
      <c r="H460" s="12" t="s">
        <v>41</v>
      </c>
      <c r="I460" s="12">
        <v>1</v>
      </c>
      <c r="J460" s="12">
        <v>257</v>
      </c>
      <c r="K460" s="13">
        <v>0.3</v>
      </c>
      <c r="L460" s="12">
        <v>179.9</v>
      </c>
      <c r="M460" s="12">
        <f t="shared" si="37"/>
        <v>179.89999999999998</v>
      </c>
      <c r="N460" s="14">
        <f t="shared" si="38"/>
        <v>0</v>
      </c>
      <c r="O460" s="14" t="str">
        <f t="shared" si="39"/>
        <v>F</v>
      </c>
    </row>
    <row r="461" spans="1:15" ht="14.4" x14ac:dyDescent="0.3">
      <c r="A461" s="10">
        <v>45345</v>
      </c>
      <c r="B461" s="11" t="str">
        <f t="shared" si="35"/>
        <v>2024</v>
      </c>
      <c r="C461" s="11" t="str">
        <f t="shared" si="36"/>
        <v>Feb</v>
      </c>
      <c r="D461" s="12">
        <v>1353</v>
      </c>
      <c r="E461" s="12" t="s">
        <v>37</v>
      </c>
      <c r="F461" s="12" t="s">
        <v>38</v>
      </c>
      <c r="G461" s="12" t="s">
        <v>34</v>
      </c>
      <c r="H461" s="12" t="s">
        <v>26</v>
      </c>
      <c r="I461" s="12">
        <v>2</v>
      </c>
      <c r="J461" s="12">
        <v>161</v>
      </c>
      <c r="K461" s="13">
        <v>0.15</v>
      </c>
      <c r="L461" s="12">
        <v>112.7</v>
      </c>
      <c r="M461" s="12">
        <f t="shared" si="37"/>
        <v>273.7</v>
      </c>
      <c r="N461" s="14">
        <f t="shared" si="38"/>
        <v>48.299999999999983</v>
      </c>
      <c r="O461" s="14" t="str">
        <f t="shared" si="39"/>
        <v>F</v>
      </c>
    </row>
    <row r="462" spans="1:15" ht="14.4" x14ac:dyDescent="0.3">
      <c r="A462" s="10">
        <v>45342</v>
      </c>
      <c r="B462" s="11" t="str">
        <f t="shared" si="35"/>
        <v>2024</v>
      </c>
      <c r="C462" s="11" t="str">
        <f t="shared" si="36"/>
        <v>Feb</v>
      </c>
      <c r="D462" s="12">
        <v>1224</v>
      </c>
      <c r="E462" s="12" t="s">
        <v>37</v>
      </c>
      <c r="F462" s="12" t="s">
        <v>20</v>
      </c>
      <c r="G462" s="12" t="s">
        <v>21</v>
      </c>
      <c r="H462" s="12" t="s">
        <v>31</v>
      </c>
      <c r="I462" s="12">
        <v>8</v>
      </c>
      <c r="J462" s="12">
        <v>214</v>
      </c>
      <c r="K462" s="13">
        <v>0.2</v>
      </c>
      <c r="L462" s="12">
        <v>149.80000000000001</v>
      </c>
      <c r="M462" s="12">
        <f t="shared" si="37"/>
        <v>1369.6000000000001</v>
      </c>
      <c r="N462" s="14">
        <f t="shared" si="38"/>
        <v>171.20000000000005</v>
      </c>
      <c r="O462" s="14" t="str">
        <f t="shared" si="39"/>
        <v>F</v>
      </c>
    </row>
    <row r="463" spans="1:15" ht="14.4" x14ac:dyDescent="0.3">
      <c r="A463" s="10">
        <v>45341</v>
      </c>
      <c r="B463" s="11" t="str">
        <f t="shared" si="35"/>
        <v>2024</v>
      </c>
      <c r="C463" s="11" t="str">
        <f t="shared" si="36"/>
        <v>Feb</v>
      </c>
      <c r="D463" s="12">
        <v>1409</v>
      </c>
      <c r="E463" s="12" t="s">
        <v>32</v>
      </c>
      <c r="F463" s="12" t="s">
        <v>38</v>
      </c>
      <c r="G463" s="12" t="s">
        <v>33</v>
      </c>
      <c r="H463" s="12" t="s">
        <v>18</v>
      </c>
      <c r="I463" s="12">
        <v>2</v>
      </c>
      <c r="J463" s="12">
        <v>98</v>
      </c>
      <c r="K463" s="13">
        <v>0.1</v>
      </c>
      <c r="L463" s="12">
        <v>68.599999999999994</v>
      </c>
      <c r="M463" s="12">
        <f t="shared" si="37"/>
        <v>176.4</v>
      </c>
      <c r="N463" s="14">
        <f t="shared" si="38"/>
        <v>39.200000000000017</v>
      </c>
      <c r="O463" s="14" t="str">
        <f t="shared" si="39"/>
        <v>F</v>
      </c>
    </row>
    <row r="464" spans="1:15" ht="14.4" x14ac:dyDescent="0.3">
      <c r="A464" s="10">
        <v>45341</v>
      </c>
      <c r="B464" s="11" t="str">
        <f t="shared" si="35"/>
        <v>2024</v>
      </c>
      <c r="C464" s="11" t="str">
        <f t="shared" si="36"/>
        <v>Feb</v>
      </c>
      <c r="D464" s="12">
        <v>1494</v>
      </c>
      <c r="E464" s="12" t="s">
        <v>32</v>
      </c>
      <c r="F464" s="12" t="s">
        <v>24</v>
      </c>
      <c r="G464" s="12" t="s">
        <v>28</v>
      </c>
      <c r="H464" s="12" t="s">
        <v>26</v>
      </c>
      <c r="I464" s="12">
        <v>1</v>
      </c>
      <c r="J464" s="12">
        <v>174</v>
      </c>
      <c r="K464" s="13">
        <v>0.3</v>
      </c>
      <c r="L464" s="12">
        <v>121.8</v>
      </c>
      <c r="M464" s="12">
        <f t="shared" si="37"/>
        <v>121.8</v>
      </c>
      <c r="N464" s="14">
        <f t="shared" si="38"/>
        <v>0</v>
      </c>
      <c r="O464" s="14" t="str">
        <f t="shared" si="39"/>
        <v>F</v>
      </c>
    </row>
    <row r="465" spans="1:15" ht="14.4" x14ac:dyDescent="0.3">
      <c r="A465" s="10">
        <v>45338</v>
      </c>
      <c r="B465" s="11" t="str">
        <f t="shared" si="35"/>
        <v>2024</v>
      </c>
      <c r="C465" s="11" t="str">
        <f t="shared" si="36"/>
        <v>Feb</v>
      </c>
      <c r="D465" s="12">
        <v>1010</v>
      </c>
      <c r="E465" s="12" t="s">
        <v>15</v>
      </c>
      <c r="F465" s="12" t="s">
        <v>20</v>
      </c>
      <c r="G465" s="12" t="s">
        <v>17</v>
      </c>
      <c r="H465" s="12" t="s">
        <v>18</v>
      </c>
      <c r="I465" s="12">
        <v>2</v>
      </c>
      <c r="J465" s="12">
        <v>171</v>
      </c>
      <c r="K465" s="13">
        <v>0.15</v>
      </c>
      <c r="L465" s="12">
        <v>119.7</v>
      </c>
      <c r="M465" s="12">
        <f t="shared" si="37"/>
        <v>290.7</v>
      </c>
      <c r="N465" s="14">
        <f t="shared" si="38"/>
        <v>51.299999999999983</v>
      </c>
      <c r="O465" s="14" t="str">
        <f t="shared" si="39"/>
        <v>F</v>
      </c>
    </row>
    <row r="466" spans="1:15" ht="14.4" x14ac:dyDescent="0.3">
      <c r="A466" s="10">
        <v>45337</v>
      </c>
      <c r="B466" s="11" t="str">
        <f t="shared" si="35"/>
        <v>2024</v>
      </c>
      <c r="C466" s="11" t="str">
        <f t="shared" si="36"/>
        <v>Feb</v>
      </c>
      <c r="D466" s="12">
        <v>1386</v>
      </c>
      <c r="E466" s="12" t="s">
        <v>42</v>
      </c>
      <c r="F466" s="12" t="s">
        <v>38</v>
      </c>
      <c r="G466" s="12" t="s">
        <v>33</v>
      </c>
      <c r="H466" s="12" t="s">
        <v>18</v>
      </c>
      <c r="I466" s="12">
        <v>1</v>
      </c>
      <c r="J466" s="12">
        <v>287</v>
      </c>
      <c r="K466" s="13">
        <v>0.2</v>
      </c>
      <c r="L466" s="12">
        <v>200.9</v>
      </c>
      <c r="M466" s="12">
        <f t="shared" si="37"/>
        <v>229.60000000000002</v>
      </c>
      <c r="N466" s="14">
        <f t="shared" si="38"/>
        <v>28.700000000000017</v>
      </c>
      <c r="O466" s="14" t="str">
        <f t="shared" si="39"/>
        <v>F</v>
      </c>
    </row>
    <row r="467" spans="1:15" ht="14.4" x14ac:dyDescent="0.3">
      <c r="A467" s="10">
        <v>45333</v>
      </c>
      <c r="B467" s="11" t="str">
        <f t="shared" si="35"/>
        <v>2024</v>
      </c>
      <c r="C467" s="11" t="str">
        <f t="shared" si="36"/>
        <v>Feb</v>
      </c>
      <c r="D467" s="12">
        <v>1142</v>
      </c>
      <c r="E467" s="12" t="s">
        <v>35</v>
      </c>
      <c r="F467" s="12" t="s">
        <v>38</v>
      </c>
      <c r="G467" s="12" t="s">
        <v>25</v>
      </c>
      <c r="H467" s="12" t="s">
        <v>26</v>
      </c>
      <c r="I467" s="12">
        <v>5</v>
      </c>
      <c r="J467" s="12">
        <v>456</v>
      </c>
      <c r="K467" s="13">
        <v>0.1</v>
      </c>
      <c r="L467" s="12">
        <v>319.2</v>
      </c>
      <c r="M467" s="12">
        <f t="shared" si="37"/>
        <v>2052</v>
      </c>
      <c r="N467" s="14">
        <f t="shared" si="38"/>
        <v>456</v>
      </c>
      <c r="O467" s="14" t="str">
        <f t="shared" si="39"/>
        <v>O</v>
      </c>
    </row>
    <row r="468" spans="1:15" ht="14.4" x14ac:dyDescent="0.3">
      <c r="A468" s="10">
        <v>45332</v>
      </c>
      <c r="B468" s="11" t="str">
        <f t="shared" si="35"/>
        <v>2024</v>
      </c>
      <c r="C468" s="11" t="str">
        <f t="shared" si="36"/>
        <v>Feb</v>
      </c>
      <c r="D468" s="12">
        <v>1140</v>
      </c>
      <c r="E468" s="12" t="s">
        <v>42</v>
      </c>
      <c r="F468" s="12" t="s">
        <v>20</v>
      </c>
      <c r="G468" s="12" t="s">
        <v>25</v>
      </c>
      <c r="H468" s="12" t="s">
        <v>22</v>
      </c>
      <c r="I468" s="12">
        <v>1</v>
      </c>
      <c r="J468" s="12">
        <v>82</v>
      </c>
      <c r="K468" s="13">
        <v>0.1</v>
      </c>
      <c r="L468" s="12">
        <v>57.4</v>
      </c>
      <c r="M468" s="12">
        <f t="shared" si="37"/>
        <v>73.8</v>
      </c>
      <c r="N468" s="14">
        <f t="shared" si="38"/>
        <v>16.399999999999999</v>
      </c>
      <c r="O468" s="14" t="str">
        <f t="shared" si="39"/>
        <v>F</v>
      </c>
    </row>
    <row r="469" spans="1:15" ht="14.4" x14ac:dyDescent="0.3">
      <c r="A469" s="10">
        <v>45332</v>
      </c>
      <c r="B469" s="11" t="str">
        <f t="shared" si="35"/>
        <v>2024</v>
      </c>
      <c r="C469" s="11" t="str">
        <f t="shared" si="36"/>
        <v>Feb</v>
      </c>
      <c r="D469" s="12">
        <v>1180</v>
      </c>
      <c r="E469" s="12" t="s">
        <v>23</v>
      </c>
      <c r="F469" s="12" t="s">
        <v>38</v>
      </c>
      <c r="G469" s="12" t="s">
        <v>17</v>
      </c>
      <c r="H469" s="12" t="s">
        <v>36</v>
      </c>
      <c r="I469" s="12">
        <v>3</v>
      </c>
      <c r="J469" s="12">
        <v>286</v>
      </c>
      <c r="K469" s="13">
        <v>0.2</v>
      </c>
      <c r="L469" s="12">
        <v>200.2</v>
      </c>
      <c r="M469" s="12">
        <f t="shared" si="37"/>
        <v>686.40000000000009</v>
      </c>
      <c r="N469" s="14">
        <f t="shared" si="38"/>
        <v>85.800000000000182</v>
      </c>
      <c r="O469" s="14" t="str">
        <f t="shared" si="39"/>
        <v>F</v>
      </c>
    </row>
    <row r="470" spans="1:15" ht="14.4" x14ac:dyDescent="0.3">
      <c r="A470" s="10">
        <v>45332</v>
      </c>
      <c r="B470" s="11" t="str">
        <f t="shared" si="35"/>
        <v>2024</v>
      </c>
      <c r="C470" s="11" t="str">
        <f t="shared" si="36"/>
        <v>Feb</v>
      </c>
      <c r="D470" s="12">
        <v>1397</v>
      </c>
      <c r="E470" s="12" t="s">
        <v>37</v>
      </c>
      <c r="F470" s="12" t="s">
        <v>16</v>
      </c>
      <c r="G470" s="12" t="s">
        <v>25</v>
      </c>
      <c r="H470" s="12" t="s">
        <v>18</v>
      </c>
      <c r="I470" s="12">
        <v>8</v>
      </c>
      <c r="J470" s="12">
        <v>326</v>
      </c>
      <c r="K470" s="13">
        <v>0</v>
      </c>
      <c r="L470" s="12">
        <v>228.2</v>
      </c>
      <c r="M470" s="12">
        <f t="shared" si="37"/>
        <v>2608</v>
      </c>
      <c r="N470" s="14">
        <f t="shared" si="38"/>
        <v>782.40000000000009</v>
      </c>
      <c r="O470" s="14" t="str">
        <f t="shared" si="39"/>
        <v>F</v>
      </c>
    </row>
    <row r="471" spans="1:15" ht="14.4" x14ac:dyDescent="0.3">
      <c r="A471" s="10">
        <v>45331</v>
      </c>
      <c r="B471" s="11" t="str">
        <f t="shared" si="35"/>
        <v>2024</v>
      </c>
      <c r="C471" s="11" t="str">
        <f t="shared" si="36"/>
        <v>Feb</v>
      </c>
      <c r="D471" s="12">
        <v>1065</v>
      </c>
      <c r="E471" s="12" t="s">
        <v>30</v>
      </c>
      <c r="F471" s="12" t="s">
        <v>16</v>
      </c>
      <c r="G471" s="12" t="s">
        <v>33</v>
      </c>
      <c r="H471" s="12" t="s">
        <v>26</v>
      </c>
      <c r="I471" s="12">
        <v>6</v>
      </c>
      <c r="J471" s="12">
        <v>389</v>
      </c>
      <c r="K471" s="13">
        <v>0.1</v>
      </c>
      <c r="L471" s="12">
        <v>272.3</v>
      </c>
      <c r="M471" s="12">
        <f t="shared" si="37"/>
        <v>2100.6</v>
      </c>
      <c r="N471" s="14">
        <f t="shared" si="38"/>
        <v>466.79999999999973</v>
      </c>
      <c r="O471" s="14" t="str">
        <f t="shared" si="39"/>
        <v>F</v>
      </c>
    </row>
    <row r="472" spans="1:15" ht="14.4" x14ac:dyDescent="0.3">
      <c r="A472" s="10">
        <v>45330</v>
      </c>
      <c r="B472" s="11" t="str">
        <f t="shared" si="35"/>
        <v>2024</v>
      </c>
      <c r="C472" s="11" t="str">
        <f t="shared" si="36"/>
        <v>Feb</v>
      </c>
      <c r="D472" s="12">
        <v>1190</v>
      </c>
      <c r="E472" s="12" t="s">
        <v>23</v>
      </c>
      <c r="F472" s="12" t="s">
        <v>38</v>
      </c>
      <c r="G472" s="12" t="s">
        <v>17</v>
      </c>
      <c r="H472" s="12" t="s">
        <v>41</v>
      </c>
      <c r="I472" s="12">
        <v>4</v>
      </c>
      <c r="J472" s="12">
        <v>135</v>
      </c>
      <c r="K472" s="13">
        <v>0</v>
      </c>
      <c r="L472" s="12">
        <v>94.5</v>
      </c>
      <c r="M472" s="12">
        <f t="shared" si="37"/>
        <v>540</v>
      </c>
      <c r="N472" s="14">
        <f t="shared" si="38"/>
        <v>162</v>
      </c>
      <c r="O472" s="14" t="str">
        <f t="shared" si="39"/>
        <v>F</v>
      </c>
    </row>
    <row r="473" spans="1:15" ht="14.4" x14ac:dyDescent="0.3">
      <c r="A473" s="10">
        <v>45329</v>
      </c>
      <c r="B473" s="11" t="str">
        <f t="shared" si="35"/>
        <v>2024</v>
      </c>
      <c r="C473" s="11" t="str">
        <f t="shared" si="36"/>
        <v>Feb</v>
      </c>
      <c r="D473" s="12">
        <v>1284</v>
      </c>
      <c r="E473" s="12" t="s">
        <v>15</v>
      </c>
      <c r="F473" s="12" t="s">
        <v>20</v>
      </c>
      <c r="G473" s="12" t="s">
        <v>34</v>
      </c>
      <c r="H473" s="12" t="s">
        <v>29</v>
      </c>
      <c r="I473" s="12">
        <v>6</v>
      </c>
      <c r="J473" s="12">
        <v>193</v>
      </c>
      <c r="K473" s="13">
        <v>0.3</v>
      </c>
      <c r="L473" s="12">
        <v>135.1</v>
      </c>
      <c r="M473" s="12">
        <f t="shared" si="37"/>
        <v>810.59999999999991</v>
      </c>
      <c r="N473" s="14">
        <f t="shared" si="38"/>
        <v>0</v>
      </c>
      <c r="O473" s="14" t="str">
        <f t="shared" si="39"/>
        <v>F</v>
      </c>
    </row>
    <row r="474" spans="1:15" ht="14.4" x14ac:dyDescent="0.3">
      <c r="A474" s="10">
        <v>45329</v>
      </c>
      <c r="B474" s="11" t="str">
        <f t="shared" si="35"/>
        <v>2024</v>
      </c>
      <c r="C474" s="11" t="str">
        <f t="shared" si="36"/>
        <v>Feb</v>
      </c>
      <c r="D474" s="12">
        <v>1282</v>
      </c>
      <c r="E474" s="12" t="s">
        <v>23</v>
      </c>
      <c r="F474" s="12" t="s">
        <v>16</v>
      </c>
      <c r="G474" s="12" t="s">
        <v>17</v>
      </c>
      <c r="H474" s="12" t="s">
        <v>18</v>
      </c>
      <c r="I474" s="12">
        <v>1</v>
      </c>
      <c r="J474" s="12">
        <v>444</v>
      </c>
      <c r="K474" s="13">
        <v>0.15</v>
      </c>
      <c r="L474" s="12">
        <v>310.8</v>
      </c>
      <c r="M474" s="12">
        <f t="shared" si="37"/>
        <v>377.4</v>
      </c>
      <c r="N474" s="14">
        <f t="shared" si="38"/>
        <v>66.599999999999966</v>
      </c>
      <c r="O474" s="14" t="str">
        <f t="shared" si="39"/>
        <v>F</v>
      </c>
    </row>
    <row r="475" spans="1:15" ht="14.4" x14ac:dyDescent="0.3">
      <c r="A475" s="10">
        <v>45329</v>
      </c>
      <c r="B475" s="11" t="str">
        <f t="shared" si="35"/>
        <v>2024</v>
      </c>
      <c r="C475" s="11" t="str">
        <f t="shared" si="36"/>
        <v>Feb</v>
      </c>
      <c r="D475" s="12">
        <v>1357</v>
      </c>
      <c r="E475" s="12" t="s">
        <v>42</v>
      </c>
      <c r="F475" s="12" t="s">
        <v>38</v>
      </c>
      <c r="G475" s="12" t="s">
        <v>33</v>
      </c>
      <c r="H475" s="12" t="s">
        <v>22</v>
      </c>
      <c r="I475" s="12">
        <v>1</v>
      </c>
      <c r="J475" s="12">
        <v>451</v>
      </c>
      <c r="K475" s="13">
        <v>0.15</v>
      </c>
      <c r="L475" s="12">
        <v>315.7</v>
      </c>
      <c r="M475" s="12">
        <f t="shared" si="37"/>
        <v>383.34999999999997</v>
      </c>
      <c r="N475" s="14">
        <f t="shared" si="38"/>
        <v>67.649999999999977</v>
      </c>
      <c r="O475" s="14" t="str">
        <f t="shared" si="39"/>
        <v>O</v>
      </c>
    </row>
    <row r="476" spans="1:15" ht="14.4" x14ac:dyDescent="0.3">
      <c r="A476" s="10">
        <v>45328</v>
      </c>
      <c r="B476" s="11" t="str">
        <f t="shared" si="35"/>
        <v>2024</v>
      </c>
      <c r="C476" s="11" t="str">
        <f t="shared" si="36"/>
        <v>Feb</v>
      </c>
      <c r="D476" s="12">
        <v>1060</v>
      </c>
      <c r="E476" s="12" t="s">
        <v>39</v>
      </c>
      <c r="F476" s="12" t="s">
        <v>16</v>
      </c>
      <c r="G476" s="12" t="s">
        <v>21</v>
      </c>
      <c r="H476" s="12" t="s">
        <v>40</v>
      </c>
      <c r="I476" s="12">
        <v>1</v>
      </c>
      <c r="J476" s="12">
        <v>291</v>
      </c>
      <c r="K476" s="13">
        <v>0.3</v>
      </c>
      <c r="L476" s="12">
        <v>203.7</v>
      </c>
      <c r="M476" s="12">
        <f t="shared" si="37"/>
        <v>203.7</v>
      </c>
      <c r="N476" s="14">
        <f t="shared" si="38"/>
        <v>0</v>
      </c>
      <c r="O476" s="14" t="str">
        <f t="shared" si="39"/>
        <v>F</v>
      </c>
    </row>
    <row r="477" spans="1:15" ht="14.4" x14ac:dyDescent="0.3">
      <c r="A477" s="10">
        <v>45328</v>
      </c>
      <c r="B477" s="11" t="str">
        <f t="shared" si="35"/>
        <v>2024</v>
      </c>
      <c r="C477" s="11" t="str">
        <f t="shared" si="36"/>
        <v>Feb</v>
      </c>
      <c r="D477" s="12">
        <v>1166</v>
      </c>
      <c r="E477" s="12" t="s">
        <v>27</v>
      </c>
      <c r="F477" s="12" t="s">
        <v>24</v>
      </c>
      <c r="G477" s="12" t="s">
        <v>33</v>
      </c>
      <c r="H477" s="12" t="s">
        <v>22</v>
      </c>
      <c r="I477" s="12">
        <v>4</v>
      </c>
      <c r="J477" s="12">
        <v>395</v>
      </c>
      <c r="K477" s="13">
        <v>0</v>
      </c>
      <c r="L477" s="12">
        <v>276.5</v>
      </c>
      <c r="M477" s="12">
        <f t="shared" si="37"/>
        <v>1580</v>
      </c>
      <c r="N477" s="14">
        <f t="shared" si="38"/>
        <v>474</v>
      </c>
      <c r="O477" s="14" t="str">
        <f t="shared" si="39"/>
        <v>F</v>
      </c>
    </row>
    <row r="478" spans="1:15" ht="14.4" x14ac:dyDescent="0.3">
      <c r="A478" s="10">
        <v>45325</v>
      </c>
      <c r="B478" s="11" t="str">
        <f t="shared" si="35"/>
        <v>2024</v>
      </c>
      <c r="C478" s="11" t="str">
        <f t="shared" si="36"/>
        <v>Feb</v>
      </c>
      <c r="D478" s="12">
        <v>1481</v>
      </c>
      <c r="E478" s="12" t="s">
        <v>30</v>
      </c>
      <c r="F478" s="12" t="s">
        <v>20</v>
      </c>
      <c r="G478" s="12" t="s">
        <v>34</v>
      </c>
      <c r="H478" s="12" t="s">
        <v>41</v>
      </c>
      <c r="I478" s="12">
        <v>8</v>
      </c>
      <c r="J478" s="12">
        <v>192</v>
      </c>
      <c r="K478" s="13">
        <v>0.1</v>
      </c>
      <c r="L478" s="12">
        <v>134.4</v>
      </c>
      <c r="M478" s="12">
        <f t="shared" si="37"/>
        <v>1382.4</v>
      </c>
      <c r="N478" s="14">
        <f t="shared" si="38"/>
        <v>307.20000000000005</v>
      </c>
      <c r="O478" s="14" t="str">
        <f t="shared" si="39"/>
        <v>F</v>
      </c>
    </row>
    <row r="479" spans="1:15" ht="14.4" x14ac:dyDescent="0.3">
      <c r="A479" s="10">
        <v>45323</v>
      </c>
      <c r="B479" s="11" t="str">
        <f t="shared" si="35"/>
        <v>2024</v>
      </c>
      <c r="C479" s="11" t="str">
        <f t="shared" si="36"/>
        <v>Feb</v>
      </c>
      <c r="D479" s="12">
        <v>1315</v>
      </c>
      <c r="E479" s="12" t="s">
        <v>30</v>
      </c>
      <c r="F479" s="12" t="s">
        <v>20</v>
      </c>
      <c r="G479" s="12" t="s">
        <v>28</v>
      </c>
      <c r="H479" s="12" t="s">
        <v>22</v>
      </c>
      <c r="I479" s="12">
        <v>8</v>
      </c>
      <c r="J479" s="12">
        <v>347</v>
      </c>
      <c r="K479" s="13">
        <v>0.25</v>
      </c>
      <c r="L479" s="12">
        <v>242.9</v>
      </c>
      <c r="M479" s="12">
        <f t="shared" si="37"/>
        <v>2082</v>
      </c>
      <c r="N479" s="14">
        <f t="shared" si="38"/>
        <v>138.79999999999995</v>
      </c>
      <c r="O479" s="14" t="str">
        <f t="shared" si="39"/>
        <v>F</v>
      </c>
    </row>
    <row r="480" spans="1:15" ht="14.4" x14ac:dyDescent="0.3">
      <c r="A480" s="10">
        <v>45323</v>
      </c>
      <c r="B480" s="11" t="str">
        <f t="shared" si="35"/>
        <v>2024</v>
      </c>
      <c r="C480" s="11" t="str">
        <f t="shared" si="36"/>
        <v>Feb</v>
      </c>
      <c r="D480" s="12">
        <v>1102</v>
      </c>
      <c r="E480" s="12" t="s">
        <v>15</v>
      </c>
      <c r="F480" s="12" t="s">
        <v>16</v>
      </c>
      <c r="G480" s="12" t="s">
        <v>17</v>
      </c>
      <c r="H480" s="12" t="s">
        <v>40</v>
      </c>
      <c r="I480" s="12">
        <v>4</v>
      </c>
      <c r="J480" s="12">
        <v>286</v>
      </c>
      <c r="K480" s="13">
        <v>0.05</v>
      </c>
      <c r="L480" s="12">
        <v>200.2</v>
      </c>
      <c r="M480" s="12">
        <f t="shared" si="37"/>
        <v>1086.8</v>
      </c>
      <c r="N480" s="14">
        <f t="shared" si="38"/>
        <v>286</v>
      </c>
      <c r="O480" s="14" t="str">
        <f t="shared" si="39"/>
        <v>F</v>
      </c>
    </row>
    <row r="481" spans="1:15" ht="14.4" x14ac:dyDescent="0.3">
      <c r="A481" s="10">
        <v>45322</v>
      </c>
      <c r="B481" s="11" t="str">
        <f t="shared" si="35"/>
        <v>2024</v>
      </c>
      <c r="C481" s="11" t="str">
        <f t="shared" si="36"/>
        <v>Jan</v>
      </c>
      <c r="D481" s="12">
        <v>1003</v>
      </c>
      <c r="E481" s="12" t="s">
        <v>37</v>
      </c>
      <c r="F481" s="12" t="s">
        <v>16</v>
      </c>
      <c r="G481" s="12" t="s">
        <v>33</v>
      </c>
      <c r="H481" s="12" t="s">
        <v>29</v>
      </c>
      <c r="I481" s="12">
        <v>9</v>
      </c>
      <c r="J481" s="12">
        <v>398</v>
      </c>
      <c r="K481" s="13">
        <v>0.3</v>
      </c>
      <c r="L481" s="12">
        <v>278.60000000000002</v>
      </c>
      <c r="M481" s="12">
        <f t="shared" si="37"/>
        <v>2507.3999999999996</v>
      </c>
      <c r="N481" s="14">
        <f t="shared" si="38"/>
        <v>0</v>
      </c>
      <c r="O481" s="14" t="str">
        <f t="shared" si="39"/>
        <v>F</v>
      </c>
    </row>
    <row r="482" spans="1:15" ht="14.4" x14ac:dyDescent="0.3">
      <c r="A482" s="10">
        <v>45322</v>
      </c>
      <c r="B482" s="11" t="str">
        <f t="shared" si="35"/>
        <v>2024</v>
      </c>
      <c r="C482" s="11" t="str">
        <f t="shared" si="36"/>
        <v>Jan</v>
      </c>
      <c r="D482" s="12">
        <v>1427</v>
      </c>
      <c r="E482" s="12" t="s">
        <v>23</v>
      </c>
      <c r="F482" s="12" t="s">
        <v>38</v>
      </c>
      <c r="G482" s="12" t="s">
        <v>21</v>
      </c>
      <c r="H482" s="12" t="s">
        <v>18</v>
      </c>
      <c r="I482" s="12">
        <v>6</v>
      </c>
      <c r="J482" s="12">
        <v>237</v>
      </c>
      <c r="K482" s="13">
        <v>0.25</v>
      </c>
      <c r="L482" s="12">
        <v>165.9</v>
      </c>
      <c r="M482" s="12">
        <f t="shared" si="37"/>
        <v>1066.5</v>
      </c>
      <c r="N482" s="14">
        <f t="shared" si="38"/>
        <v>71.099999999999909</v>
      </c>
      <c r="O482" s="14" t="str">
        <f t="shared" si="39"/>
        <v>F</v>
      </c>
    </row>
    <row r="483" spans="1:15" ht="14.4" x14ac:dyDescent="0.3">
      <c r="A483" s="10">
        <v>45321</v>
      </c>
      <c r="B483" s="11" t="str">
        <f t="shared" si="35"/>
        <v>2024</v>
      </c>
      <c r="C483" s="11" t="str">
        <f t="shared" si="36"/>
        <v>Jan</v>
      </c>
      <c r="D483" s="12">
        <v>1113</v>
      </c>
      <c r="E483" s="12" t="s">
        <v>30</v>
      </c>
      <c r="F483" s="12" t="s">
        <v>20</v>
      </c>
      <c r="G483" s="12" t="s">
        <v>33</v>
      </c>
      <c r="H483" s="12" t="s">
        <v>26</v>
      </c>
      <c r="I483" s="12">
        <v>4</v>
      </c>
      <c r="J483" s="12">
        <v>206</v>
      </c>
      <c r="K483" s="13">
        <v>0.15</v>
      </c>
      <c r="L483" s="12">
        <v>144.19999999999999</v>
      </c>
      <c r="M483" s="12">
        <f t="shared" si="37"/>
        <v>700.4</v>
      </c>
      <c r="N483" s="14">
        <f t="shared" si="38"/>
        <v>123.60000000000002</v>
      </c>
      <c r="O483" s="14" t="str">
        <f t="shared" si="39"/>
        <v>O</v>
      </c>
    </row>
    <row r="484" spans="1:15" ht="14.4" x14ac:dyDescent="0.3">
      <c r="A484" s="10">
        <v>45321</v>
      </c>
      <c r="B484" s="11" t="str">
        <f t="shared" si="35"/>
        <v>2024</v>
      </c>
      <c r="C484" s="11" t="str">
        <f t="shared" si="36"/>
        <v>Jan</v>
      </c>
      <c r="D484" s="12">
        <v>1151</v>
      </c>
      <c r="E484" s="12" t="s">
        <v>27</v>
      </c>
      <c r="F484" s="12" t="s">
        <v>16</v>
      </c>
      <c r="G484" s="12" t="s">
        <v>28</v>
      </c>
      <c r="H484" s="12" t="s">
        <v>40</v>
      </c>
      <c r="I484" s="12">
        <v>5</v>
      </c>
      <c r="J484" s="12">
        <v>498</v>
      </c>
      <c r="K484" s="13">
        <v>0.05</v>
      </c>
      <c r="L484" s="12">
        <v>348.6</v>
      </c>
      <c r="M484" s="12">
        <f t="shared" si="37"/>
        <v>2365.5</v>
      </c>
      <c r="N484" s="14">
        <f t="shared" si="38"/>
        <v>622.5</v>
      </c>
      <c r="O484" s="14" t="str">
        <f t="shared" si="39"/>
        <v>F</v>
      </c>
    </row>
    <row r="485" spans="1:15" ht="14.4" x14ac:dyDescent="0.3">
      <c r="A485" s="10">
        <v>45321</v>
      </c>
      <c r="B485" s="11" t="str">
        <f t="shared" si="35"/>
        <v>2024</v>
      </c>
      <c r="C485" s="11" t="str">
        <f t="shared" si="36"/>
        <v>Jan</v>
      </c>
      <c r="D485" s="12">
        <v>1463</v>
      </c>
      <c r="E485" s="12" t="s">
        <v>27</v>
      </c>
      <c r="F485" s="12" t="s">
        <v>16</v>
      </c>
      <c r="G485" s="12" t="s">
        <v>21</v>
      </c>
      <c r="H485" s="12" t="s">
        <v>31</v>
      </c>
      <c r="I485" s="12">
        <v>7</v>
      </c>
      <c r="J485" s="12">
        <v>296</v>
      </c>
      <c r="K485" s="13">
        <v>0</v>
      </c>
      <c r="L485" s="12">
        <v>207.2</v>
      </c>
      <c r="M485" s="12">
        <f t="shared" si="37"/>
        <v>2072</v>
      </c>
      <c r="N485" s="14">
        <f t="shared" si="38"/>
        <v>621.60000000000014</v>
      </c>
      <c r="O485" s="14" t="str">
        <f t="shared" si="39"/>
        <v>F</v>
      </c>
    </row>
    <row r="486" spans="1:15" ht="14.4" x14ac:dyDescent="0.3">
      <c r="A486" s="10">
        <v>45320</v>
      </c>
      <c r="B486" s="11" t="str">
        <f t="shared" si="35"/>
        <v>2024</v>
      </c>
      <c r="C486" s="11" t="str">
        <f t="shared" si="36"/>
        <v>Jan</v>
      </c>
      <c r="D486" s="12">
        <v>1269</v>
      </c>
      <c r="E486" s="12" t="s">
        <v>39</v>
      </c>
      <c r="F486" s="12" t="s">
        <v>24</v>
      </c>
      <c r="G486" s="12" t="s">
        <v>28</v>
      </c>
      <c r="H486" s="12" t="s">
        <v>36</v>
      </c>
      <c r="I486" s="12">
        <v>3</v>
      </c>
      <c r="J486" s="12">
        <v>373</v>
      </c>
      <c r="K486" s="13">
        <v>0.15</v>
      </c>
      <c r="L486" s="12">
        <v>261.10000000000002</v>
      </c>
      <c r="M486" s="12">
        <f t="shared" si="37"/>
        <v>951.15</v>
      </c>
      <c r="N486" s="14">
        <f t="shared" si="38"/>
        <v>167.84999999999991</v>
      </c>
      <c r="O486" s="14" t="str">
        <f t="shared" si="39"/>
        <v>F</v>
      </c>
    </row>
    <row r="487" spans="1:15" ht="14.4" x14ac:dyDescent="0.3">
      <c r="A487" s="10">
        <v>45317</v>
      </c>
      <c r="B487" s="11" t="str">
        <f t="shared" si="35"/>
        <v>2024</v>
      </c>
      <c r="C487" s="11" t="str">
        <f t="shared" si="36"/>
        <v>Jan</v>
      </c>
      <c r="D487" s="12">
        <v>1188</v>
      </c>
      <c r="E487" s="12" t="s">
        <v>27</v>
      </c>
      <c r="F487" s="12" t="s">
        <v>20</v>
      </c>
      <c r="G487" s="12" t="s">
        <v>25</v>
      </c>
      <c r="H487" s="12" t="s">
        <v>18</v>
      </c>
      <c r="I487" s="12">
        <v>2</v>
      </c>
      <c r="J487" s="12">
        <v>236</v>
      </c>
      <c r="K487" s="13">
        <v>0</v>
      </c>
      <c r="L487" s="12">
        <v>165.2</v>
      </c>
      <c r="M487" s="12">
        <f t="shared" si="37"/>
        <v>472</v>
      </c>
      <c r="N487" s="14">
        <f t="shared" si="38"/>
        <v>141.60000000000002</v>
      </c>
      <c r="O487" s="14" t="str">
        <f t="shared" si="39"/>
        <v>O</v>
      </c>
    </row>
    <row r="488" spans="1:15" ht="14.4" x14ac:dyDescent="0.3">
      <c r="A488" s="10">
        <v>45315</v>
      </c>
      <c r="B488" s="11" t="str">
        <f t="shared" si="35"/>
        <v>2024</v>
      </c>
      <c r="C488" s="11" t="str">
        <f t="shared" si="36"/>
        <v>Jan</v>
      </c>
      <c r="D488" s="12">
        <v>1324</v>
      </c>
      <c r="E488" s="12" t="s">
        <v>37</v>
      </c>
      <c r="F488" s="12" t="s">
        <v>38</v>
      </c>
      <c r="G488" s="12" t="s">
        <v>25</v>
      </c>
      <c r="H488" s="12" t="s">
        <v>26</v>
      </c>
      <c r="I488" s="12">
        <v>4</v>
      </c>
      <c r="J488" s="12">
        <v>51</v>
      </c>
      <c r="K488" s="13">
        <v>0.2</v>
      </c>
      <c r="L488" s="12">
        <v>35.700000000000003</v>
      </c>
      <c r="M488" s="12">
        <f t="shared" si="37"/>
        <v>163.20000000000002</v>
      </c>
      <c r="N488" s="14">
        <f t="shared" si="38"/>
        <v>20.400000000000006</v>
      </c>
      <c r="O488" s="14" t="str">
        <f t="shared" si="39"/>
        <v>F</v>
      </c>
    </row>
    <row r="489" spans="1:15" ht="14.4" x14ac:dyDescent="0.3">
      <c r="A489" s="10">
        <v>45313</v>
      </c>
      <c r="B489" s="11" t="str">
        <f t="shared" si="35"/>
        <v>2024</v>
      </c>
      <c r="C489" s="11" t="str">
        <f t="shared" si="36"/>
        <v>Jan</v>
      </c>
      <c r="D489" s="12">
        <v>1197</v>
      </c>
      <c r="E489" s="12" t="s">
        <v>32</v>
      </c>
      <c r="F489" s="12" t="s">
        <v>20</v>
      </c>
      <c r="G489" s="12" t="s">
        <v>33</v>
      </c>
      <c r="H489" s="12" t="s">
        <v>40</v>
      </c>
      <c r="I489" s="12">
        <v>10</v>
      </c>
      <c r="J489" s="12">
        <v>183</v>
      </c>
      <c r="K489" s="13">
        <v>0.1</v>
      </c>
      <c r="L489" s="12">
        <v>128.1</v>
      </c>
      <c r="M489" s="12">
        <f t="shared" si="37"/>
        <v>1647</v>
      </c>
      <c r="N489" s="14">
        <f t="shared" si="38"/>
        <v>366</v>
      </c>
      <c r="O489" s="14" t="str">
        <f t="shared" si="39"/>
        <v>O</v>
      </c>
    </row>
    <row r="490" spans="1:15" ht="14.4" x14ac:dyDescent="0.3">
      <c r="A490" s="10">
        <v>45309</v>
      </c>
      <c r="B490" s="11" t="str">
        <f t="shared" si="35"/>
        <v>2024</v>
      </c>
      <c r="C490" s="11" t="str">
        <f t="shared" si="36"/>
        <v>Jan</v>
      </c>
      <c r="D490" s="12">
        <v>1336</v>
      </c>
      <c r="E490" s="12" t="s">
        <v>39</v>
      </c>
      <c r="F490" s="12" t="s">
        <v>20</v>
      </c>
      <c r="G490" s="12" t="s">
        <v>28</v>
      </c>
      <c r="H490" s="12" t="s">
        <v>41</v>
      </c>
      <c r="I490" s="12">
        <v>7</v>
      </c>
      <c r="J490" s="12">
        <v>257</v>
      </c>
      <c r="K490" s="13">
        <v>0.3</v>
      </c>
      <c r="L490" s="12">
        <v>179.9</v>
      </c>
      <c r="M490" s="12">
        <f t="shared" si="37"/>
        <v>1259.3</v>
      </c>
      <c r="N490" s="14">
        <f t="shared" si="38"/>
        <v>0</v>
      </c>
      <c r="O490" s="14" t="str">
        <f t="shared" si="39"/>
        <v>F</v>
      </c>
    </row>
    <row r="491" spans="1:15" ht="14.4" x14ac:dyDescent="0.3">
      <c r="A491" s="10">
        <v>45307</v>
      </c>
      <c r="B491" s="11" t="str">
        <f t="shared" si="35"/>
        <v>2024</v>
      </c>
      <c r="C491" s="11" t="str">
        <f t="shared" si="36"/>
        <v>Jan</v>
      </c>
      <c r="D491" s="12">
        <v>1201</v>
      </c>
      <c r="E491" s="12" t="s">
        <v>39</v>
      </c>
      <c r="F491" s="12" t="s">
        <v>16</v>
      </c>
      <c r="G491" s="12" t="s">
        <v>25</v>
      </c>
      <c r="H491" s="12" t="s">
        <v>36</v>
      </c>
      <c r="I491" s="12">
        <v>1</v>
      </c>
      <c r="J491" s="12">
        <v>93</v>
      </c>
      <c r="K491" s="13">
        <v>0.15</v>
      </c>
      <c r="L491" s="12">
        <v>65.099999999999994</v>
      </c>
      <c r="M491" s="12">
        <f t="shared" si="37"/>
        <v>79.05</v>
      </c>
      <c r="N491" s="14">
        <f t="shared" si="38"/>
        <v>13.950000000000003</v>
      </c>
      <c r="O491" s="14" t="str">
        <f t="shared" si="39"/>
        <v>F</v>
      </c>
    </row>
    <row r="492" spans="1:15" ht="14.4" x14ac:dyDescent="0.3">
      <c r="A492" s="10">
        <v>45304</v>
      </c>
      <c r="B492" s="11" t="str">
        <f t="shared" si="35"/>
        <v>2024</v>
      </c>
      <c r="C492" s="11" t="str">
        <f t="shared" si="36"/>
        <v>Jan</v>
      </c>
      <c r="D492" s="12">
        <v>1435</v>
      </c>
      <c r="E492" s="12" t="s">
        <v>23</v>
      </c>
      <c r="F492" s="12" t="s">
        <v>38</v>
      </c>
      <c r="G492" s="12" t="s">
        <v>21</v>
      </c>
      <c r="H492" s="12" t="s">
        <v>41</v>
      </c>
      <c r="I492" s="12">
        <v>9</v>
      </c>
      <c r="J492" s="12">
        <v>177</v>
      </c>
      <c r="K492" s="13">
        <v>0.05</v>
      </c>
      <c r="L492" s="12">
        <v>123.9</v>
      </c>
      <c r="M492" s="12">
        <f t="shared" si="37"/>
        <v>1513.35</v>
      </c>
      <c r="N492" s="14">
        <f t="shared" si="38"/>
        <v>398.24999999999977</v>
      </c>
      <c r="O492" s="14" t="str">
        <f t="shared" si="39"/>
        <v>F</v>
      </c>
    </row>
    <row r="493" spans="1:15" ht="14.4" x14ac:dyDescent="0.3">
      <c r="A493" s="10">
        <v>45303</v>
      </c>
      <c r="B493" s="11" t="str">
        <f t="shared" si="35"/>
        <v>2024</v>
      </c>
      <c r="C493" s="11" t="str">
        <f t="shared" si="36"/>
        <v>Jan</v>
      </c>
      <c r="D493" s="12">
        <v>1022</v>
      </c>
      <c r="E493" s="12" t="s">
        <v>37</v>
      </c>
      <c r="F493" s="12" t="s">
        <v>20</v>
      </c>
      <c r="G493" s="12" t="s">
        <v>28</v>
      </c>
      <c r="H493" s="12" t="s">
        <v>36</v>
      </c>
      <c r="I493" s="12">
        <v>2</v>
      </c>
      <c r="J493" s="12">
        <v>393</v>
      </c>
      <c r="K493" s="13">
        <v>0.3</v>
      </c>
      <c r="L493" s="12">
        <v>275.10000000000002</v>
      </c>
      <c r="M493" s="12">
        <f t="shared" si="37"/>
        <v>550.19999999999993</v>
      </c>
      <c r="N493" s="14">
        <f t="shared" si="38"/>
        <v>0</v>
      </c>
      <c r="O493" s="14" t="str">
        <f t="shared" si="39"/>
        <v>F</v>
      </c>
    </row>
    <row r="494" spans="1:15" ht="14.4" x14ac:dyDescent="0.3">
      <c r="A494" s="10">
        <v>45302</v>
      </c>
      <c r="B494" s="11" t="str">
        <f t="shared" si="35"/>
        <v>2024</v>
      </c>
      <c r="C494" s="11" t="str">
        <f t="shared" si="36"/>
        <v>Jan</v>
      </c>
      <c r="D494" s="12">
        <v>1115</v>
      </c>
      <c r="E494" s="12" t="s">
        <v>19</v>
      </c>
      <c r="F494" s="12" t="s">
        <v>16</v>
      </c>
      <c r="G494" s="12" t="s">
        <v>17</v>
      </c>
      <c r="H494" s="12" t="s">
        <v>18</v>
      </c>
      <c r="I494" s="12">
        <v>7</v>
      </c>
      <c r="J494" s="12">
        <v>350</v>
      </c>
      <c r="K494" s="13">
        <v>0.15</v>
      </c>
      <c r="L494" s="12">
        <v>245</v>
      </c>
      <c r="M494" s="12">
        <f t="shared" si="37"/>
        <v>2082.5</v>
      </c>
      <c r="N494" s="14">
        <f t="shared" si="38"/>
        <v>367.5</v>
      </c>
      <c r="O494" s="14" t="str">
        <f t="shared" si="39"/>
        <v>F</v>
      </c>
    </row>
    <row r="495" spans="1:15" ht="14.4" x14ac:dyDescent="0.3">
      <c r="A495" s="10">
        <v>45301</v>
      </c>
      <c r="B495" s="11" t="str">
        <f t="shared" si="35"/>
        <v>2024</v>
      </c>
      <c r="C495" s="11" t="str">
        <f t="shared" si="36"/>
        <v>Jan</v>
      </c>
      <c r="D495" s="12">
        <v>1059</v>
      </c>
      <c r="E495" s="12" t="s">
        <v>37</v>
      </c>
      <c r="F495" s="12" t="s">
        <v>24</v>
      </c>
      <c r="G495" s="12" t="s">
        <v>28</v>
      </c>
      <c r="H495" s="12" t="s">
        <v>40</v>
      </c>
      <c r="I495" s="12">
        <v>9</v>
      </c>
      <c r="J495" s="12">
        <v>63</v>
      </c>
      <c r="K495" s="13">
        <v>0.3</v>
      </c>
      <c r="L495" s="12">
        <v>44.099999999999987</v>
      </c>
      <c r="M495" s="12">
        <f t="shared" si="37"/>
        <v>396.9</v>
      </c>
      <c r="N495" s="14">
        <f t="shared" si="38"/>
        <v>0</v>
      </c>
      <c r="O495" s="14" t="str">
        <f t="shared" si="39"/>
        <v>F</v>
      </c>
    </row>
    <row r="496" spans="1:15" ht="14.4" x14ac:dyDescent="0.3">
      <c r="A496" s="10">
        <v>45301</v>
      </c>
      <c r="B496" s="11" t="str">
        <f t="shared" si="35"/>
        <v>2024</v>
      </c>
      <c r="C496" s="11" t="str">
        <f t="shared" si="36"/>
        <v>Jan</v>
      </c>
      <c r="D496" s="12">
        <v>1358</v>
      </c>
      <c r="E496" s="12" t="s">
        <v>23</v>
      </c>
      <c r="F496" s="12" t="s">
        <v>24</v>
      </c>
      <c r="G496" s="12" t="s">
        <v>34</v>
      </c>
      <c r="H496" s="12" t="s">
        <v>22</v>
      </c>
      <c r="I496" s="12">
        <v>8</v>
      </c>
      <c r="J496" s="12">
        <v>433</v>
      </c>
      <c r="K496" s="13">
        <v>0.15</v>
      </c>
      <c r="L496" s="12">
        <v>303.10000000000002</v>
      </c>
      <c r="M496" s="12">
        <f t="shared" si="37"/>
        <v>2944.4</v>
      </c>
      <c r="N496" s="14">
        <f t="shared" si="38"/>
        <v>519.59999999999991</v>
      </c>
      <c r="O496" s="14" t="str">
        <f t="shared" si="39"/>
        <v>O</v>
      </c>
    </row>
    <row r="497" spans="1:15" ht="14.4" x14ac:dyDescent="0.3">
      <c r="A497" s="10">
        <v>45298</v>
      </c>
      <c r="B497" s="11" t="str">
        <f t="shared" si="35"/>
        <v>2024</v>
      </c>
      <c r="C497" s="11" t="str">
        <f t="shared" si="36"/>
        <v>Jan</v>
      </c>
      <c r="D497" s="12">
        <v>1093</v>
      </c>
      <c r="E497" s="12" t="s">
        <v>39</v>
      </c>
      <c r="F497" s="12" t="s">
        <v>20</v>
      </c>
      <c r="G497" s="12" t="s">
        <v>21</v>
      </c>
      <c r="H497" s="12" t="s">
        <v>31</v>
      </c>
      <c r="I497" s="12">
        <v>9</v>
      </c>
      <c r="J497" s="12">
        <v>400</v>
      </c>
      <c r="K497" s="13">
        <v>0.3</v>
      </c>
      <c r="L497" s="12">
        <v>280</v>
      </c>
      <c r="M497" s="12">
        <f t="shared" si="37"/>
        <v>2520</v>
      </c>
      <c r="N497" s="14">
        <f t="shared" si="38"/>
        <v>0</v>
      </c>
      <c r="O497" s="14" t="str">
        <f t="shared" si="39"/>
        <v>O</v>
      </c>
    </row>
    <row r="498" spans="1:15" ht="14.4" x14ac:dyDescent="0.3">
      <c r="A498" s="10">
        <v>45298</v>
      </c>
      <c r="B498" s="11" t="str">
        <f t="shared" si="35"/>
        <v>2024</v>
      </c>
      <c r="C498" s="11" t="str">
        <f t="shared" si="36"/>
        <v>Jan</v>
      </c>
      <c r="D498" s="12">
        <v>1412</v>
      </c>
      <c r="E498" s="12" t="s">
        <v>19</v>
      </c>
      <c r="F498" s="12" t="s">
        <v>38</v>
      </c>
      <c r="G498" s="12" t="s">
        <v>17</v>
      </c>
      <c r="H498" s="12" t="s">
        <v>29</v>
      </c>
      <c r="I498" s="12">
        <v>9</v>
      </c>
      <c r="J498" s="12">
        <v>269</v>
      </c>
      <c r="K498" s="13">
        <v>0.2</v>
      </c>
      <c r="L498" s="12">
        <v>188.3</v>
      </c>
      <c r="M498" s="12">
        <f t="shared" si="37"/>
        <v>1936.8000000000002</v>
      </c>
      <c r="N498" s="14">
        <f t="shared" si="38"/>
        <v>242.10000000000014</v>
      </c>
      <c r="O498" s="14" t="str">
        <f t="shared" si="39"/>
        <v>O</v>
      </c>
    </row>
    <row r="499" spans="1:15" ht="14.4" x14ac:dyDescent="0.3">
      <c r="A499" s="10">
        <v>45297</v>
      </c>
      <c r="B499" s="11" t="str">
        <f t="shared" si="35"/>
        <v>2024</v>
      </c>
      <c r="C499" s="11" t="str">
        <f t="shared" si="36"/>
        <v>Jan</v>
      </c>
      <c r="D499" s="12">
        <v>1083</v>
      </c>
      <c r="E499" s="12" t="s">
        <v>37</v>
      </c>
      <c r="F499" s="12" t="s">
        <v>38</v>
      </c>
      <c r="G499" s="12" t="s">
        <v>33</v>
      </c>
      <c r="H499" s="12" t="s">
        <v>40</v>
      </c>
      <c r="I499" s="12">
        <v>9</v>
      </c>
      <c r="J499" s="12">
        <v>309</v>
      </c>
      <c r="K499" s="13">
        <v>0.15</v>
      </c>
      <c r="L499" s="12">
        <v>216.3</v>
      </c>
      <c r="M499" s="12">
        <f t="shared" si="37"/>
        <v>2363.85</v>
      </c>
      <c r="N499" s="14">
        <f t="shared" si="38"/>
        <v>417.14999999999986</v>
      </c>
      <c r="O499" s="14" t="str">
        <f t="shared" si="39"/>
        <v>O</v>
      </c>
    </row>
    <row r="500" spans="1:15" ht="14.4" x14ac:dyDescent="0.3">
      <c r="A500" s="10">
        <v>45296</v>
      </c>
      <c r="B500" s="11" t="str">
        <f t="shared" si="35"/>
        <v>2024</v>
      </c>
      <c r="C500" s="11" t="str">
        <f t="shared" si="36"/>
        <v>Jan</v>
      </c>
      <c r="D500" s="12">
        <v>1464</v>
      </c>
      <c r="E500" s="12" t="s">
        <v>15</v>
      </c>
      <c r="F500" s="12" t="s">
        <v>16</v>
      </c>
      <c r="G500" s="12" t="s">
        <v>34</v>
      </c>
      <c r="H500" s="12" t="s">
        <v>41</v>
      </c>
      <c r="I500" s="12">
        <v>10</v>
      </c>
      <c r="J500" s="12">
        <v>75</v>
      </c>
      <c r="K500" s="13">
        <v>0.25</v>
      </c>
      <c r="L500" s="12">
        <v>52.5</v>
      </c>
      <c r="M500" s="12">
        <f t="shared" si="37"/>
        <v>562.5</v>
      </c>
      <c r="N500" s="14">
        <f t="shared" si="38"/>
        <v>37.5</v>
      </c>
      <c r="O500" s="14" t="str">
        <f t="shared" si="39"/>
        <v>F</v>
      </c>
    </row>
    <row r="501" spans="1:15" ht="14.4" x14ac:dyDescent="0.3">
      <c r="A501" s="15">
        <v>45293</v>
      </c>
      <c r="B501" s="16" t="str">
        <f t="shared" si="35"/>
        <v>2024</v>
      </c>
      <c r="C501" s="16" t="str">
        <f t="shared" si="36"/>
        <v>Jan</v>
      </c>
      <c r="D501" s="17">
        <v>1499</v>
      </c>
      <c r="E501" s="17" t="s">
        <v>15</v>
      </c>
      <c r="F501" s="17" t="s">
        <v>38</v>
      </c>
      <c r="G501" s="17" t="s">
        <v>17</v>
      </c>
      <c r="H501" s="17" t="s">
        <v>40</v>
      </c>
      <c r="I501" s="17">
        <v>10</v>
      </c>
      <c r="J501" s="17">
        <v>354</v>
      </c>
      <c r="K501" s="18">
        <v>0</v>
      </c>
      <c r="L501" s="17">
        <v>247.8</v>
      </c>
      <c r="M501" s="17">
        <f t="shared" si="37"/>
        <v>3540</v>
      </c>
      <c r="N501" s="19">
        <f t="shared" si="38"/>
        <v>1062</v>
      </c>
      <c r="O501" s="19" t="str">
        <f t="shared" si="39"/>
        <v>O</v>
      </c>
    </row>
  </sheetData>
  <conditionalFormatting sqref="A1:L501">
    <cfRule type="expression" priority="1">
      <formula>"="</formula>
    </cfRule>
  </conditionalFormatting>
  <conditionalFormatting sqref="E2:E501">
    <cfRule type="expression" dxfId="10811" priority="2">
      <formula>COUNTIF($E:$E,$E2)&gt;70</formula>
    </cfRule>
  </conditionalFormatting>
  <conditionalFormatting sqref="M1:O1">
    <cfRule type="expression" priority="3">
      <formula>"="</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3EF9-3F89-48AA-8A5E-64EA3549EE6F}">
  <sheetPr codeName="Sheet2"/>
  <dimension ref="A2:D136"/>
  <sheetViews>
    <sheetView topLeftCell="A37" workbookViewId="0">
      <selection activeCell="B83" sqref="B83"/>
    </sheetView>
  </sheetViews>
  <sheetFormatPr defaultRowHeight="15.6" x14ac:dyDescent="0.3"/>
  <cols>
    <col min="1" max="1" width="10.8984375" style="20" bestFit="1" customWidth="1"/>
    <col min="2" max="2" width="9.8984375" style="20" bestFit="1" customWidth="1"/>
    <col min="3" max="3" width="10.3984375" style="20" bestFit="1" customWidth="1"/>
    <col min="4" max="4" width="7.09765625" style="20" bestFit="1" customWidth="1"/>
    <col min="5" max="5" width="4.8984375" style="20" bestFit="1" customWidth="1"/>
    <col min="6" max="7" width="11.8984375" style="20" bestFit="1" customWidth="1"/>
    <col min="8" max="8" width="15.3984375" style="20" bestFit="1" customWidth="1"/>
    <col min="9" max="9" width="18.69921875" style="20" bestFit="1" customWidth="1"/>
    <col min="10" max="10" width="11.8984375" style="20" bestFit="1" customWidth="1"/>
    <col min="11" max="16384" width="8.796875" style="20"/>
  </cols>
  <sheetData>
    <row r="2" spans="1:4" x14ac:dyDescent="0.3">
      <c r="A2" s="58" t="s">
        <v>96</v>
      </c>
      <c r="B2" s="58"/>
    </row>
    <row r="3" spans="1:4" x14ac:dyDescent="0.3">
      <c r="A3" s="61" t="s">
        <v>87</v>
      </c>
      <c r="B3" s="62" t="s">
        <v>85</v>
      </c>
    </row>
    <row r="4" spans="1:4" x14ac:dyDescent="0.3">
      <c r="A4" s="63" t="s">
        <v>31</v>
      </c>
      <c r="B4" s="64">
        <v>107372.7</v>
      </c>
    </row>
    <row r="5" spans="1:4" x14ac:dyDescent="0.3">
      <c r="A5" s="63" t="s">
        <v>26</v>
      </c>
      <c r="B5" s="64">
        <v>86111.899999999951</v>
      </c>
    </row>
    <row r="6" spans="1:4" x14ac:dyDescent="0.3">
      <c r="A6" s="63" t="s">
        <v>18</v>
      </c>
      <c r="B6" s="64">
        <v>85368.799999999988</v>
      </c>
    </row>
    <row r="7" spans="1:4" x14ac:dyDescent="0.3">
      <c r="A7" s="63" t="s">
        <v>36</v>
      </c>
      <c r="B7" s="64">
        <v>84432.400000000009</v>
      </c>
    </row>
    <row r="8" spans="1:4" x14ac:dyDescent="0.3">
      <c r="A8" s="63" t="s">
        <v>29</v>
      </c>
      <c r="B8" s="64">
        <v>81897.750000000015</v>
      </c>
    </row>
    <row r="9" spans="1:4" x14ac:dyDescent="0.3">
      <c r="A9" s="63" t="s">
        <v>22</v>
      </c>
      <c r="B9" s="64">
        <v>72523.7</v>
      </c>
    </row>
    <row r="10" spans="1:4" x14ac:dyDescent="0.3">
      <c r="A10" s="63" t="s">
        <v>40</v>
      </c>
      <c r="B10" s="64">
        <v>72132.699999999983</v>
      </c>
    </row>
    <row r="11" spans="1:4" x14ac:dyDescent="0.3">
      <c r="A11" s="63" t="s">
        <v>41</v>
      </c>
      <c r="B11" s="64">
        <v>69768.45</v>
      </c>
    </row>
    <row r="12" spans="1:4" x14ac:dyDescent="0.3">
      <c r="A12" s="63" t="s">
        <v>44</v>
      </c>
      <c r="B12" s="64">
        <v>280908.2</v>
      </c>
    </row>
    <row r="14" spans="1:4" x14ac:dyDescent="0.3">
      <c r="A14" s="58" t="s">
        <v>97</v>
      </c>
      <c r="B14" s="58"/>
    </row>
    <row r="15" spans="1:4" x14ac:dyDescent="0.3">
      <c r="A15" s="61" t="s">
        <v>5</v>
      </c>
      <c r="B15" s="62" t="s">
        <v>85</v>
      </c>
      <c r="C15" s="62" t="s">
        <v>86</v>
      </c>
      <c r="D15"/>
    </row>
    <row r="16" spans="1:4" x14ac:dyDescent="0.3">
      <c r="A16" s="63" t="s">
        <v>20</v>
      </c>
      <c r="B16" s="64">
        <v>174466.34999999998</v>
      </c>
      <c r="C16" s="64">
        <v>32360.05000000001</v>
      </c>
      <c r="D16"/>
    </row>
    <row r="17" spans="1:4" x14ac:dyDescent="0.3">
      <c r="A17" s="63" t="s">
        <v>38</v>
      </c>
      <c r="B17" s="64">
        <v>169896.40000000002</v>
      </c>
      <c r="C17" s="64">
        <v>29349.700000000008</v>
      </c>
      <c r="D17"/>
    </row>
    <row r="18" spans="1:4" x14ac:dyDescent="0.3">
      <c r="A18" s="63" t="s">
        <v>16</v>
      </c>
      <c r="B18" s="64">
        <v>150629.84999999998</v>
      </c>
      <c r="C18" s="64">
        <v>29353.45</v>
      </c>
      <c r="D18"/>
    </row>
    <row r="19" spans="1:4" x14ac:dyDescent="0.3">
      <c r="A19" s="63" t="s">
        <v>24</v>
      </c>
      <c r="B19" s="64">
        <v>88921.799999999988</v>
      </c>
      <c r="C19" s="64">
        <v>30588.2</v>
      </c>
      <c r="D19"/>
    </row>
    <row r="20" spans="1:4" x14ac:dyDescent="0.3">
      <c r="A20" s="63" t="s">
        <v>44</v>
      </c>
      <c r="B20" s="64">
        <v>280908.2</v>
      </c>
      <c r="C20" s="64">
        <v>121651.39999999992</v>
      </c>
      <c r="D20"/>
    </row>
    <row r="23" spans="1:4" x14ac:dyDescent="0.3">
      <c r="A23" s="58" t="s">
        <v>98</v>
      </c>
      <c r="B23" s="58"/>
    </row>
    <row r="24" spans="1:4" x14ac:dyDescent="0.3">
      <c r="A24" s="61" t="s">
        <v>88</v>
      </c>
      <c r="B24" s="62" t="s">
        <v>85</v>
      </c>
    </row>
    <row r="25" spans="1:4" x14ac:dyDescent="0.3">
      <c r="A25" s="63" t="s">
        <v>27</v>
      </c>
      <c r="B25" s="64">
        <v>85114.3</v>
      </c>
    </row>
    <row r="26" spans="1:4" x14ac:dyDescent="0.3">
      <c r="A26" s="63" t="s">
        <v>23</v>
      </c>
      <c r="B26" s="64">
        <v>82396.900000000009</v>
      </c>
    </row>
    <row r="27" spans="1:4" x14ac:dyDescent="0.3">
      <c r="A27" s="63" t="s">
        <v>37</v>
      </c>
      <c r="B27" s="64">
        <v>82253.5</v>
      </c>
    </row>
    <row r="28" spans="1:4" x14ac:dyDescent="0.3">
      <c r="A28" s="63" t="s">
        <v>30</v>
      </c>
      <c r="B28" s="64">
        <v>74383.5</v>
      </c>
    </row>
    <row r="29" spans="1:4" x14ac:dyDescent="0.3">
      <c r="A29" s="63" t="s">
        <v>35</v>
      </c>
      <c r="B29" s="64">
        <v>70207.799999999988</v>
      </c>
    </row>
    <row r="30" spans="1:4" x14ac:dyDescent="0.3">
      <c r="A30" s="63" t="s">
        <v>44</v>
      </c>
      <c r="B30" s="64">
        <v>394355.99999999994</v>
      </c>
    </row>
    <row r="32" spans="1:4" x14ac:dyDescent="0.3">
      <c r="A32" s="58" t="s">
        <v>99</v>
      </c>
      <c r="B32" s="58"/>
    </row>
    <row r="33" spans="1:3" x14ac:dyDescent="0.3">
      <c r="A33" s="61" t="s">
        <v>6</v>
      </c>
      <c r="B33" s="62" t="s">
        <v>85</v>
      </c>
      <c r="C33" s="62" t="s">
        <v>58</v>
      </c>
    </row>
    <row r="34" spans="1:3" x14ac:dyDescent="0.3">
      <c r="A34" s="63" t="s">
        <v>33</v>
      </c>
      <c r="B34" s="64">
        <v>129909.10000000002</v>
      </c>
      <c r="C34" s="64">
        <v>23939.600000000006</v>
      </c>
    </row>
    <row r="35" spans="1:3" x14ac:dyDescent="0.3">
      <c r="A35" s="63" t="s">
        <v>21</v>
      </c>
      <c r="B35" s="64">
        <v>118774.85000000002</v>
      </c>
      <c r="C35" s="64">
        <v>20128.05</v>
      </c>
    </row>
    <row r="36" spans="1:3" x14ac:dyDescent="0.3">
      <c r="A36" s="63" t="s">
        <v>25</v>
      </c>
      <c r="B36" s="64">
        <v>114960.99999999999</v>
      </c>
      <c r="C36" s="64">
        <v>22545.600000000009</v>
      </c>
    </row>
    <row r="37" spans="1:3" x14ac:dyDescent="0.3">
      <c r="A37" s="63" t="s">
        <v>28</v>
      </c>
      <c r="B37" s="64">
        <v>107128.14999999998</v>
      </c>
      <c r="C37" s="64">
        <v>19989.350000000002</v>
      </c>
    </row>
    <row r="38" spans="1:3" x14ac:dyDescent="0.3">
      <c r="A38" s="63" t="s">
        <v>34</v>
      </c>
      <c r="B38" s="64">
        <v>95609.7</v>
      </c>
      <c r="C38" s="64">
        <v>18939.400000000001</v>
      </c>
    </row>
    <row r="39" spans="1:3" x14ac:dyDescent="0.3">
      <c r="A39" s="63" t="s">
        <v>17</v>
      </c>
      <c r="B39" s="64">
        <v>93225.600000000006</v>
      </c>
      <c r="C39" s="64">
        <v>16109.400000000001</v>
      </c>
    </row>
    <row r="40" spans="1:3" x14ac:dyDescent="0.3">
      <c r="A40" s="63" t="s">
        <v>44</v>
      </c>
      <c r="B40" s="64">
        <v>280908.2</v>
      </c>
      <c r="C40" s="64">
        <v>121651.39999999992</v>
      </c>
    </row>
    <row r="42" spans="1:3" x14ac:dyDescent="0.3">
      <c r="A42" s="58" t="s">
        <v>100</v>
      </c>
      <c r="B42" s="58"/>
    </row>
    <row r="43" spans="1:3" x14ac:dyDescent="0.3">
      <c r="A43" s="61" t="s">
        <v>89</v>
      </c>
      <c r="B43" s="62" t="s">
        <v>85</v>
      </c>
    </row>
    <row r="44" spans="1:3" x14ac:dyDescent="0.3">
      <c r="A44" s="63" t="s">
        <v>46</v>
      </c>
      <c r="B44" s="64">
        <v>63807.450000000012</v>
      </c>
    </row>
    <row r="45" spans="1:3" x14ac:dyDescent="0.3">
      <c r="A45" s="63" t="s">
        <v>47</v>
      </c>
      <c r="B45" s="64">
        <v>57472.100000000006</v>
      </c>
    </row>
    <row r="46" spans="1:3" x14ac:dyDescent="0.3">
      <c r="A46" s="63" t="s">
        <v>48</v>
      </c>
      <c r="B46" s="64">
        <v>60267.950000000019</v>
      </c>
    </row>
    <row r="47" spans="1:3" x14ac:dyDescent="0.3">
      <c r="A47" s="63" t="s">
        <v>49</v>
      </c>
      <c r="B47" s="64">
        <v>80103.800000000017</v>
      </c>
    </row>
    <row r="48" spans="1:3" x14ac:dyDescent="0.3">
      <c r="A48" s="63" t="s">
        <v>50</v>
      </c>
      <c r="B48" s="64">
        <v>88874.3</v>
      </c>
    </row>
    <row r="49" spans="1:2" x14ac:dyDescent="0.3">
      <c r="A49" s="63" t="s">
        <v>51</v>
      </c>
      <c r="B49" s="64">
        <v>44636.700000000004</v>
      </c>
    </row>
    <row r="50" spans="1:2" x14ac:dyDescent="0.3">
      <c r="A50" s="63" t="s">
        <v>52</v>
      </c>
      <c r="B50" s="64">
        <v>73604.549999999974</v>
      </c>
    </row>
    <row r="51" spans="1:2" x14ac:dyDescent="0.3">
      <c r="A51" s="63" t="s">
        <v>53</v>
      </c>
      <c r="B51" s="64">
        <v>52723.150000000009</v>
      </c>
    </row>
    <row r="52" spans="1:2" x14ac:dyDescent="0.3">
      <c r="A52" s="63" t="s">
        <v>54</v>
      </c>
      <c r="B52" s="64">
        <v>38742.85</v>
      </c>
    </row>
    <row r="53" spans="1:2" x14ac:dyDescent="0.3">
      <c r="A53" s="63" t="s">
        <v>55</v>
      </c>
      <c r="B53" s="64">
        <v>36175.250000000007</v>
      </c>
    </row>
    <row r="54" spans="1:2" x14ac:dyDescent="0.3">
      <c r="A54" s="63" t="s">
        <v>56</v>
      </c>
      <c r="B54" s="64">
        <v>32130</v>
      </c>
    </row>
    <row r="55" spans="1:2" x14ac:dyDescent="0.3">
      <c r="A55" s="63" t="s">
        <v>57</v>
      </c>
      <c r="B55" s="64">
        <v>31070.3</v>
      </c>
    </row>
    <row r="56" spans="1:2" x14ac:dyDescent="0.3">
      <c r="A56" s="63" t="s">
        <v>44</v>
      </c>
      <c r="B56" s="64">
        <v>280908.2</v>
      </c>
    </row>
    <row r="58" spans="1:2" x14ac:dyDescent="0.3">
      <c r="A58" s="58" t="s">
        <v>101</v>
      </c>
      <c r="B58" s="58"/>
    </row>
    <row r="59" spans="1:2" x14ac:dyDescent="0.3">
      <c r="A59" s="61" t="s">
        <v>87</v>
      </c>
      <c r="B59" s="62" t="s">
        <v>90</v>
      </c>
    </row>
    <row r="60" spans="1:2" x14ac:dyDescent="0.3">
      <c r="A60" s="63" t="s">
        <v>31</v>
      </c>
      <c r="B60" s="64">
        <v>19813.900000000005</v>
      </c>
    </row>
    <row r="61" spans="1:2" x14ac:dyDescent="0.3">
      <c r="A61" s="63" t="s">
        <v>36</v>
      </c>
      <c r="B61" s="64">
        <v>16972</v>
      </c>
    </row>
    <row r="62" spans="1:2" x14ac:dyDescent="0.3">
      <c r="A62" s="63" t="s">
        <v>26</v>
      </c>
      <c r="B62" s="64">
        <v>16008.299999999997</v>
      </c>
    </row>
    <row r="63" spans="1:2" x14ac:dyDescent="0.3">
      <c r="A63" s="63" t="s">
        <v>18</v>
      </c>
      <c r="B63" s="64">
        <v>15860.200000000003</v>
      </c>
    </row>
    <row r="64" spans="1:2" x14ac:dyDescent="0.3">
      <c r="A64" s="63" t="s">
        <v>40</v>
      </c>
      <c r="B64" s="64">
        <v>15231.800000000001</v>
      </c>
    </row>
    <row r="65" spans="1:2" x14ac:dyDescent="0.3">
      <c r="A65" s="63" t="s">
        <v>29</v>
      </c>
      <c r="B65" s="64">
        <v>14842.649999999996</v>
      </c>
    </row>
    <row r="66" spans="1:2" x14ac:dyDescent="0.3">
      <c r="A66" s="63" t="s">
        <v>22</v>
      </c>
      <c r="B66" s="64">
        <v>13102.099999999999</v>
      </c>
    </row>
    <row r="67" spans="1:2" x14ac:dyDescent="0.3">
      <c r="A67" s="63" t="s">
        <v>41</v>
      </c>
      <c r="B67" s="64">
        <v>9820.4500000000025</v>
      </c>
    </row>
    <row r="68" spans="1:2" x14ac:dyDescent="0.3">
      <c r="A68" s="63" t="s">
        <v>44</v>
      </c>
      <c r="B68" s="64">
        <v>121651.39999999992</v>
      </c>
    </row>
    <row r="71" spans="1:2" x14ac:dyDescent="0.3">
      <c r="A71" s="58" t="s">
        <v>102</v>
      </c>
      <c r="B71" s="58"/>
    </row>
    <row r="72" spans="1:2" x14ac:dyDescent="0.3">
      <c r="A72" s="61" t="s">
        <v>5</v>
      </c>
      <c r="B72" s="62" t="s">
        <v>60</v>
      </c>
    </row>
    <row r="73" spans="1:2" x14ac:dyDescent="0.3">
      <c r="A73" s="63" t="s">
        <v>38</v>
      </c>
      <c r="B73" s="64">
        <v>130</v>
      </c>
    </row>
    <row r="74" spans="1:2" x14ac:dyDescent="0.3">
      <c r="A74" s="63" t="s">
        <v>20</v>
      </c>
      <c r="B74" s="64">
        <v>126</v>
      </c>
    </row>
    <row r="75" spans="1:2" x14ac:dyDescent="0.3">
      <c r="A75" s="63" t="s">
        <v>24</v>
      </c>
      <c r="B75" s="64">
        <v>124</v>
      </c>
    </row>
    <row r="76" spans="1:2" x14ac:dyDescent="0.3">
      <c r="A76" s="63" t="s">
        <v>16</v>
      </c>
      <c r="B76" s="64">
        <v>120</v>
      </c>
    </row>
    <row r="77" spans="1:2" x14ac:dyDescent="0.3">
      <c r="A77" s="63" t="s">
        <v>44</v>
      </c>
      <c r="B77" s="64">
        <v>500</v>
      </c>
    </row>
    <row r="81" spans="1:3" x14ac:dyDescent="0.3">
      <c r="A81" s="58" t="s">
        <v>103</v>
      </c>
      <c r="B81" s="58"/>
    </row>
    <row r="82" spans="1:3" x14ac:dyDescent="0.3">
      <c r="A82" s="61" t="s">
        <v>89</v>
      </c>
      <c r="B82" s="62" t="s">
        <v>91</v>
      </c>
      <c r="C82"/>
    </row>
    <row r="83" spans="1:3" x14ac:dyDescent="0.3">
      <c r="A83" s="63">
        <v>2024</v>
      </c>
      <c r="B83" s="64"/>
      <c r="C83"/>
    </row>
    <row r="84" spans="1:3" x14ac:dyDescent="0.3">
      <c r="A84" s="67" t="s">
        <v>71</v>
      </c>
      <c r="B84" s="65">
        <v>-0.30413958477945346</v>
      </c>
      <c r="C84"/>
    </row>
    <row r="85" spans="1:3" x14ac:dyDescent="0.3">
      <c r="A85" s="67" t="s">
        <v>72</v>
      </c>
      <c r="B85" s="65">
        <v>-0.13466124980729638</v>
      </c>
      <c r="C85"/>
    </row>
    <row r="86" spans="1:3" x14ac:dyDescent="0.3">
      <c r="A86" s="67" t="s">
        <v>73</v>
      </c>
      <c r="B86" s="65">
        <v>0.68219568554915699</v>
      </c>
      <c r="C86"/>
    </row>
    <row r="87" spans="1:3" x14ac:dyDescent="0.3">
      <c r="A87" s="67" t="s">
        <v>50</v>
      </c>
      <c r="B87" s="65">
        <v>0.66219684651852417</v>
      </c>
      <c r="C87"/>
    </row>
    <row r="88" spans="1:3" x14ac:dyDescent="0.3">
      <c r="A88" s="67" t="s">
        <v>74</v>
      </c>
      <c r="B88" s="65">
        <v>-0.58374638095327336</v>
      </c>
      <c r="C88"/>
    </row>
    <row r="89" spans="1:3" x14ac:dyDescent="0.3">
      <c r="A89" s="67" t="s">
        <v>75</v>
      </c>
      <c r="B89" s="65">
        <v>0.45422561366782616</v>
      </c>
      <c r="C89"/>
    </row>
    <row r="90" spans="1:3" x14ac:dyDescent="0.3">
      <c r="A90" s="67" t="s">
        <v>76</v>
      </c>
      <c r="B90" s="65">
        <v>-0.14044334235744443</v>
      </c>
      <c r="C90"/>
    </row>
    <row r="91" spans="1:3" x14ac:dyDescent="0.3">
      <c r="A91" s="67" t="s">
        <v>77</v>
      </c>
      <c r="B91" s="65">
        <v>0.39534929787471568</v>
      </c>
      <c r="C91"/>
    </row>
    <row r="92" spans="1:3" x14ac:dyDescent="0.3">
      <c r="A92" s="67" t="s">
        <v>78</v>
      </c>
      <c r="B92" s="65">
        <v>-6.6272873575382071E-2</v>
      </c>
      <c r="C92"/>
    </row>
    <row r="93" spans="1:3" x14ac:dyDescent="0.3">
      <c r="A93" s="67" t="s">
        <v>79</v>
      </c>
      <c r="B93" s="65">
        <v>-0.11182369161235928</v>
      </c>
      <c r="C93"/>
    </row>
    <row r="94" spans="1:3" x14ac:dyDescent="0.3">
      <c r="A94" s="67" t="s">
        <v>80</v>
      </c>
      <c r="B94" s="65">
        <v>-3.2981637099284068E-2</v>
      </c>
      <c r="C94"/>
    </row>
    <row r="95" spans="1:3" x14ac:dyDescent="0.3">
      <c r="A95" s="63">
        <v>2025</v>
      </c>
      <c r="B95" s="64"/>
      <c r="C95"/>
    </row>
    <row r="96" spans="1:3" x14ac:dyDescent="0.3">
      <c r="A96" s="67" t="s">
        <v>70</v>
      </c>
      <c r="B96" s="65">
        <v>3.3573863142615339E-2</v>
      </c>
      <c r="C96"/>
    </row>
    <row r="97" spans="1:3" x14ac:dyDescent="0.3">
      <c r="A97" s="67" t="s">
        <v>71</v>
      </c>
      <c r="B97" s="65">
        <v>0.10288679665373862</v>
      </c>
      <c r="C97"/>
    </row>
    <row r="98" spans="1:3" x14ac:dyDescent="0.3">
      <c r="A98" s="67" t="s">
        <v>72</v>
      </c>
      <c r="B98" s="65">
        <v>0.16279381661607983</v>
      </c>
      <c r="C98"/>
    </row>
    <row r="99" spans="1:3" x14ac:dyDescent="0.3">
      <c r="A99" s="67" t="s">
        <v>73</v>
      </c>
      <c r="B99" s="65">
        <v>0.16551267809121403</v>
      </c>
      <c r="C99"/>
    </row>
    <row r="100" spans="1:3" x14ac:dyDescent="0.3">
      <c r="A100" s="67" t="s">
        <v>50</v>
      </c>
      <c r="B100" s="65">
        <v>-0.26018550154584602</v>
      </c>
      <c r="C100"/>
    </row>
    <row r="101" spans="1:3" x14ac:dyDescent="0.3">
      <c r="A101" s="67" t="s">
        <v>74</v>
      </c>
      <c r="B101" s="65">
        <v>-0.36853154533268756</v>
      </c>
      <c r="C101"/>
    </row>
    <row r="102" spans="1:3" x14ac:dyDescent="0.3">
      <c r="A102" s="67" t="s">
        <v>75</v>
      </c>
      <c r="B102" s="65">
        <v>0.84187888396112143</v>
      </c>
      <c r="C102"/>
    </row>
    <row r="103" spans="1:3" x14ac:dyDescent="0.3">
      <c r="A103" s="67" t="s">
        <v>76</v>
      </c>
      <c r="B103" s="65">
        <v>-0.39573557825006905</v>
      </c>
      <c r="C103"/>
    </row>
    <row r="104" spans="1:3" x14ac:dyDescent="0.3">
      <c r="A104" s="67" t="s">
        <v>77</v>
      </c>
      <c r="B104" s="65">
        <v>-1</v>
      </c>
      <c r="C104"/>
    </row>
    <row r="105" spans="1:3" x14ac:dyDescent="0.3">
      <c r="A105" s="63" t="s">
        <v>44</v>
      </c>
      <c r="B105" s="65">
        <v>0</v>
      </c>
      <c r="C105"/>
    </row>
    <row r="106" spans="1:3" x14ac:dyDescent="0.3">
      <c r="A106"/>
      <c r="B106"/>
      <c r="C106"/>
    </row>
    <row r="110" spans="1:3" x14ac:dyDescent="0.3">
      <c r="A110" s="58" t="s">
        <v>104</v>
      </c>
      <c r="B110" s="58"/>
    </row>
    <row r="111" spans="1:3" x14ac:dyDescent="0.3">
      <c r="A111" s="61" t="s">
        <v>87</v>
      </c>
      <c r="B111" s="62" t="s">
        <v>92</v>
      </c>
    </row>
    <row r="112" spans="1:3" x14ac:dyDescent="0.3">
      <c r="A112" s="63" t="s">
        <v>41</v>
      </c>
      <c r="B112" s="65">
        <v>0.1672727272727273</v>
      </c>
    </row>
    <row r="113" spans="1:4" x14ac:dyDescent="0.3">
      <c r="A113" s="63" t="s">
        <v>29</v>
      </c>
      <c r="B113" s="65">
        <v>0.16509433962264147</v>
      </c>
    </row>
    <row r="114" spans="1:4" x14ac:dyDescent="0.3">
      <c r="A114" s="63" t="s">
        <v>18</v>
      </c>
      <c r="B114" s="65">
        <v>0.1470588235294118</v>
      </c>
    </row>
    <row r="115" spans="1:4" x14ac:dyDescent="0.3">
      <c r="A115" s="63" t="s">
        <v>36</v>
      </c>
      <c r="B115" s="65">
        <v>0.14677419354838708</v>
      </c>
    </row>
    <row r="116" spans="1:4" x14ac:dyDescent="0.3">
      <c r="A116" s="63" t="s">
        <v>31</v>
      </c>
      <c r="B116" s="65">
        <v>0.14556962025316456</v>
      </c>
    </row>
    <row r="117" spans="1:4" x14ac:dyDescent="0.3">
      <c r="A117" s="63" t="s">
        <v>26</v>
      </c>
      <c r="B117" s="65">
        <v>0.1445205479452055</v>
      </c>
    </row>
    <row r="118" spans="1:4" x14ac:dyDescent="0.3">
      <c r="A118" s="63" t="s">
        <v>22</v>
      </c>
      <c r="B118" s="65">
        <v>0.14067796610169492</v>
      </c>
    </row>
    <row r="119" spans="1:4" x14ac:dyDescent="0.3">
      <c r="A119" s="63" t="s">
        <v>40</v>
      </c>
      <c r="B119" s="65">
        <v>0.13039215686274508</v>
      </c>
    </row>
    <row r="120" spans="1:4" x14ac:dyDescent="0.3">
      <c r="A120" s="63" t="s">
        <v>44</v>
      </c>
      <c r="B120" s="65">
        <v>0.14809999999999987</v>
      </c>
    </row>
    <row r="123" spans="1:4" x14ac:dyDescent="0.3">
      <c r="A123" s="58" t="s">
        <v>105</v>
      </c>
      <c r="B123" s="58"/>
    </row>
    <row r="124" spans="1:4" x14ac:dyDescent="0.3">
      <c r="A124" s="61" t="s">
        <v>93</v>
      </c>
      <c r="B124" s="62" t="s">
        <v>94</v>
      </c>
      <c r="C124" s="62" t="s">
        <v>90</v>
      </c>
      <c r="D124"/>
    </row>
    <row r="125" spans="1:4" x14ac:dyDescent="0.3">
      <c r="A125" s="63" t="s">
        <v>61</v>
      </c>
      <c r="B125" s="64">
        <v>641048.60000000021</v>
      </c>
      <c r="C125" s="64">
        <v>118255.69999999991</v>
      </c>
      <c r="D125"/>
    </row>
    <row r="126" spans="1:4" x14ac:dyDescent="0.3">
      <c r="A126" s="63" t="s">
        <v>62</v>
      </c>
      <c r="B126" s="64">
        <v>18559.800000000003</v>
      </c>
      <c r="C126" s="64">
        <v>3395.7</v>
      </c>
      <c r="D126"/>
    </row>
    <row r="127" spans="1:4" x14ac:dyDescent="0.3">
      <c r="A127" s="63" t="s">
        <v>44</v>
      </c>
      <c r="B127" s="64">
        <v>280908.2</v>
      </c>
      <c r="C127" s="64">
        <v>121651.39999999992</v>
      </c>
      <c r="D127"/>
    </row>
    <row r="132" spans="1:4" x14ac:dyDescent="0.3">
      <c r="A132" s="21"/>
      <c r="B132" s="21"/>
    </row>
    <row r="133" spans="1:4" ht="14.4" customHeight="1" x14ac:dyDescent="0.3"/>
    <row r="134" spans="1:4" ht="14.4" customHeight="1" x14ac:dyDescent="0.3"/>
    <row r="135" spans="1:4" ht="14.4" customHeight="1" x14ac:dyDescent="0.3">
      <c r="D135" s="22"/>
    </row>
    <row r="136" spans="1:4" ht="14.4" customHeight="1" x14ac:dyDescent="0.3"/>
  </sheetData>
  <mergeCells count="10">
    <mergeCell ref="A71:B71"/>
    <mergeCell ref="A81:B81"/>
    <mergeCell ref="A123:B123"/>
    <mergeCell ref="A110:B110"/>
    <mergeCell ref="A58:B58"/>
    <mergeCell ref="A2:B2"/>
    <mergeCell ref="A14:B14"/>
    <mergeCell ref="A23:B23"/>
    <mergeCell ref="A32:B32"/>
    <mergeCell ref="A42:B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EC766-D928-4D3B-B86F-C1533210D507}">
  <sheetPr codeName="Sheet3"/>
  <dimension ref="A1:N38"/>
  <sheetViews>
    <sheetView zoomScale="99" zoomScaleNormal="99" workbookViewId="0">
      <selection activeCell="I2" sqref="I2"/>
    </sheetView>
  </sheetViews>
  <sheetFormatPr defaultRowHeight="15.6" x14ac:dyDescent="0.3"/>
  <cols>
    <col min="1" max="1" width="12.3984375" style="20" bestFit="1" customWidth="1"/>
    <col min="2" max="2" width="12" style="20" bestFit="1" customWidth="1"/>
    <col min="3" max="3" width="10.796875" style="20" bestFit="1" customWidth="1"/>
    <col min="4" max="4" width="12" style="20" bestFit="1" customWidth="1"/>
    <col min="5" max="5" width="7.19921875" style="20" bestFit="1" customWidth="1"/>
    <col min="6" max="6" width="14.69921875" style="20" bestFit="1" customWidth="1"/>
    <col min="7" max="7" width="20.09765625" style="20" bestFit="1" customWidth="1"/>
    <col min="8" max="8" width="13.796875" style="20" bestFit="1" customWidth="1"/>
    <col min="9" max="9" width="7.296875" style="20" bestFit="1" customWidth="1"/>
    <col min="10" max="10" width="6.8984375" style="20" bestFit="1" customWidth="1"/>
    <col min="11" max="11" width="12.09765625" style="20" bestFit="1" customWidth="1"/>
    <col min="12" max="12" width="11.69921875" style="20" customWidth="1"/>
    <col min="13" max="16384" width="8.796875" style="20"/>
  </cols>
  <sheetData>
    <row r="1" spans="1:14" x14ac:dyDescent="0.3">
      <c r="A1" s="61" t="s">
        <v>43</v>
      </c>
      <c r="B1" s="62" t="s">
        <v>45</v>
      </c>
      <c r="C1" s="62" t="s">
        <v>59</v>
      </c>
      <c r="D1" s="62" t="s">
        <v>58</v>
      </c>
      <c r="E1" s="62" t="s">
        <v>81</v>
      </c>
      <c r="F1" s="62" t="s">
        <v>64</v>
      </c>
      <c r="G1" s="62" t="s">
        <v>63</v>
      </c>
      <c r="H1" s="62" t="s">
        <v>107</v>
      </c>
      <c r="I1" s="62" t="s">
        <v>82</v>
      </c>
      <c r="K1" s="22" t="s">
        <v>114</v>
      </c>
      <c r="L1" s="20" t="s">
        <v>115</v>
      </c>
    </row>
    <row r="2" spans="1:14" x14ac:dyDescent="0.3">
      <c r="A2" s="63">
        <v>2025</v>
      </c>
      <c r="B2" s="64">
        <v>280908.2</v>
      </c>
      <c r="C2" s="65">
        <v>-9.9591157724010129E-2</v>
      </c>
      <c r="D2" s="64">
        <v>51701.599999999977</v>
      </c>
      <c r="E2" s="65">
        <v>-0.10972590049213286</v>
      </c>
      <c r="F2" s="66">
        <v>1337.6580952380953</v>
      </c>
      <c r="G2" s="65">
        <v>0.14547619047619054</v>
      </c>
      <c r="H2" s="64">
        <v>210</v>
      </c>
      <c r="I2" s="65">
        <v>-0.27586206896551724</v>
      </c>
      <c r="K2" s="26">
        <f>INDEX(D2:D3,MATCH(D2,D2:D3))</f>
        <v>51701.599999999977</v>
      </c>
      <c r="L2" s="22">
        <f>INDEX(E2:E3,MATCH(E2,E2:E3,0))</f>
        <v>-0.10972590049213286</v>
      </c>
    </row>
    <row r="3" spans="1:14" x14ac:dyDescent="0.3">
      <c r="A3" s="63">
        <v>2024</v>
      </c>
      <c r="B3" s="64">
        <v>378700.19999999984</v>
      </c>
      <c r="C3" s="65">
        <v>8.9377524775629907E-2</v>
      </c>
      <c r="D3" s="64">
        <v>69949.800000000032</v>
      </c>
      <c r="E3" s="65">
        <v>0.10022712401852278</v>
      </c>
      <c r="F3" s="66">
        <v>1305.8627586206892</v>
      </c>
      <c r="G3" s="65">
        <v>0.14999999999999994</v>
      </c>
      <c r="H3" s="64">
        <v>290</v>
      </c>
      <c r="I3" s="65"/>
      <c r="N3" s="22"/>
    </row>
    <row r="4" spans="1:14" x14ac:dyDescent="0.3">
      <c r="A4" s="63" t="s">
        <v>44</v>
      </c>
      <c r="B4" s="64">
        <v>280908.2</v>
      </c>
      <c r="C4" s="65">
        <v>0</v>
      </c>
      <c r="D4" s="64">
        <v>121651.39999999992</v>
      </c>
      <c r="E4" s="65">
        <v>0</v>
      </c>
      <c r="F4" s="66">
        <v>1319.2168000000006</v>
      </c>
      <c r="G4" s="65">
        <v>0.14809999999999987</v>
      </c>
      <c r="H4" s="64">
        <v>500</v>
      </c>
      <c r="I4" s="65">
        <v>0.72413793103448276</v>
      </c>
      <c r="K4" s="22"/>
      <c r="L4" s="22"/>
    </row>
    <row r="6" spans="1:14" x14ac:dyDescent="0.3">
      <c r="F6" s="22"/>
      <c r="K6" s="22"/>
      <c r="L6" s="22"/>
    </row>
    <row r="7" spans="1:14" x14ac:dyDescent="0.3">
      <c r="A7" s="61" t="s">
        <v>43</v>
      </c>
      <c r="B7" s="62" t="s">
        <v>45</v>
      </c>
      <c r="C7" s="62" t="s">
        <v>112</v>
      </c>
      <c r="D7" s="20" t="s">
        <v>111</v>
      </c>
      <c r="E7" s="20" t="s">
        <v>113</v>
      </c>
    </row>
    <row r="8" spans="1:14" x14ac:dyDescent="0.3">
      <c r="A8" s="63" t="s">
        <v>20</v>
      </c>
      <c r="B8" s="64">
        <v>174466.34999999998</v>
      </c>
      <c r="C8" s="65">
        <v>0.2644998911475353</v>
      </c>
      <c r="D8" s="20">
        <f>INDEX(B8:B11,MATCH(A8,A8:A11))</f>
        <v>174466.34999999998</v>
      </c>
      <c r="E8" s="22">
        <f>INDEX(C8:C11,MATCH(A8,A8:A11))</f>
        <v>0.2644998911475353</v>
      </c>
    </row>
    <row r="9" spans="1:14" x14ac:dyDescent="0.3">
      <c r="A9" s="63" t="s">
        <v>24</v>
      </c>
      <c r="B9" s="64">
        <v>88921.799999999988</v>
      </c>
      <c r="C9" s="65">
        <v>0.24956595458760064</v>
      </c>
    </row>
    <row r="10" spans="1:14" x14ac:dyDescent="0.3">
      <c r="A10" s="63" t="s">
        <v>16</v>
      </c>
      <c r="B10" s="64">
        <v>150629.84999999998</v>
      </c>
      <c r="C10" s="65">
        <v>0.22836254056194541</v>
      </c>
    </row>
    <row r="11" spans="1:14" x14ac:dyDescent="0.3">
      <c r="A11" s="63" t="s">
        <v>38</v>
      </c>
      <c r="B11" s="64">
        <v>169896.40000000002</v>
      </c>
      <c r="C11" s="65">
        <v>0.2575716137029182</v>
      </c>
    </row>
    <row r="12" spans="1:14" x14ac:dyDescent="0.3">
      <c r="A12" s="63" t="s">
        <v>44</v>
      </c>
      <c r="B12" s="64">
        <v>280908.2</v>
      </c>
      <c r="C12" s="65">
        <v>1</v>
      </c>
    </row>
    <row r="15" spans="1:14" x14ac:dyDescent="0.3">
      <c r="A15" s="61" t="s">
        <v>43</v>
      </c>
      <c r="B15" s="62" t="s">
        <v>64</v>
      </c>
      <c r="C15"/>
      <c r="D15" s="23" t="s">
        <v>106</v>
      </c>
      <c r="E15" s="22"/>
    </row>
    <row r="16" spans="1:14" x14ac:dyDescent="0.3">
      <c r="A16" s="63" t="s">
        <v>84</v>
      </c>
      <c r="B16" s="66">
        <v>1337.6580952380953</v>
      </c>
      <c r="C16"/>
      <c r="D16" s="22">
        <f>IFERROR((GETPIVOTDATA("[Measures].[Average of Sales]",$A$15,"[sales_data].[Year]","[sales_data].[Year].&amp;[2025]")/GETPIVOTDATA("[Measures].[Average of Sales]",$A$15,"[sales_data].[Year]","[sales_data].[Year].&amp;[2024]"))-1,0)</f>
        <v>2.434814562825105E-2</v>
      </c>
    </row>
    <row r="17" spans="1:7" x14ac:dyDescent="0.3">
      <c r="A17" s="63" t="s">
        <v>83</v>
      </c>
      <c r="B17" s="66">
        <v>1305.8627586206892</v>
      </c>
      <c r="C17"/>
      <c r="E17" s="22"/>
      <c r="F17" s="22"/>
    </row>
    <row r="18" spans="1:7" x14ac:dyDescent="0.3">
      <c r="A18" s="63" t="s">
        <v>44</v>
      </c>
      <c r="B18" s="66">
        <v>1319.2168000000006</v>
      </c>
      <c r="C18"/>
    </row>
    <row r="21" spans="1:7" x14ac:dyDescent="0.3">
      <c r="A21" s="61" t="s">
        <v>43</v>
      </c>
      <c r="B21" s="62" t="s">
        <v>45</v>
      </c>
      <c r="C21" s="62" t="s">
        <v>68</v>
      </c>
      <c r="D21" s="20" t="s">
        <v>68</v>
      </c>
    </row>
    <row r="22" spans="1:7" x14ac:dyDescent="0.3">
      <c r="A22" s="63">
        <v>2025</v>
      </c>
      <c r="B22" s="64">
        <v>280908.2</v>
      </c>
      <c r="C22" s="65">
        <v>-0.25823065316574978</v>
      </c>
      <c r="D22" s="22">
        <f>INDEX(C22:C23,MATCH(A22,A22:A23))</f>
        <v>-0.25823065316574978</v>
      </c>
    </row>
    <row r="23" spans="1:7" x14ac:dyDescent="0.3">
      <c r="A23" s="63">
        <v>2024</v>
      </c>
      <c r="B23" s="64">
        <v>378700.19999999984</v>
      </c>
      <c r="C23" s="65">
        <v>0</v>
      </c>
    </row>
    <row r="24" spans="1:7" x14ac:dyDescent="0.3">
      <c r="A24" s="63" t="s">
        <v>44</v>
      </c>
      <c r="B24" s="64">
        <v>280908.2</v>
      </c>
      <c r="C24" s="65">
        <v>-0.25823065316574922</v>
      </c>
    </row>
    <row r="27" spans="1:7" x14ac:dyDescent="0.3">
      <c r="A27" s="61" t="s">
        <v>43</v>
      </c>
      <c r="B27" s="62" t="s">
        <v>58</v>
      </c>
      <c r="C27" s="62" t="s">
        <v>116</v>
      </c>
      <c r="D27"/>
      <c r="E27"/>
      <c r="F27"/>
      <c r="G27"/>
    </row>
    <row r="28" spans="1:7" x14ac:dyDescent="0.3">
      <c r="A28" s="63">
        <v>2025</v>
      </c>
      <c r="B28" s="66">
        <v>51701.599999999977</v>
      </c>
      <c r="C28" s="65">
        <v>-0.26087565654226352</v>
      </c>
      <c r="D28"/>
      <c r="E28"/>
      <c r="F28"/>
      <c r="G28"/>
    </row>
    <row r="29" spans="1:7" x14ac:dyDescent="0.3">
      <c r="A29" s="63">
        <v>2024</v>
      </c>
      <c r="B29" s="66">
        <v>69949.800000000032</v>
      </c>
      <c r="C29" s="65">
        <v>0</v>
      </c>
      <c r="D29"/>
      <c r="E29"/>
      <c r="F29"/>
      <c r="G29"/>
    </row>
    <row r="30" spans="1:7" x14ac:dyDescent="0.3">
      <c r="A30" s="63" t="s">
        <v>44</v>
      </c>
      <c r="B30" s="66">
        <v>121651.39999999992</v>
      </c>
      <c r="C30" s="65">
        <v>0.73912434345773492</v>
      </c>
      <c r="D30"/>
      <c r="E30"/>
      <c r="F30"/>
      <c r="G30"/>
    </row>
    <row r="31" spans="1:7" x14ac:dyDescent="0.3">
      <c r="A31"/>
      <c r="B31"/>
      <c r="C31"/>
      <c r="D31"/>
      <c r="E31"/>
      <c r="F31"/>
      <c r="G31"/>
    </row>
    <row r="32" spans="1:7" x14ac:dyDescent="0.3">
      <c r="A32"/>
      <c r="B32"/>
      <c r="C32"/>
      <c r="D32"/>
      <c r="E32"/>
      <c r="F32"/>
      <c r="G32"/>
    </row>
    <row r="33" spans="1:7" x14ac:dyDescent="0.3">
      <c r="A33"/>
      <c r="B33"/>
      <c r="C33"/>
      <c r="D33"/>
      <c r="E33"/>
      <c r="F33"/>
    </row>
    <row r="34" spans="1:7" x14ac:dyDescent="0.3">
      <c r="A34"/>
      <c r="B34"/>
      <c r="C34"/>
      <c r="D34"/>
      <c r="E34"/>
      <c r="F34"/>
    </row>
    <row r="35" spans="1:7" x14ac:dyDescent="0.3">
      <c r="A35"/>
      <c r="B35"/>
      <c r="C35"/>
      <c r="F35" s="22"/>
    </row>
    <row r="36" spans="1:7" x14ac:dyDescent="0.3">
      <c r="A36"/>
      <c r="B36"/>
      <c r="C36"/>
      <c r="G36" s="22"/>
    </row>
    <row r="37" spans="1:7" x14ac:dyDescent="0.3">
      <c r="A37"/>
      <c r="B37"/>
      <c r="C37"/>
    </row>
    <row r="38" spans="1:7" x14ac:dyDescent="0.3">
      <c r="A38"/>
      <c r="B38"/>
      <c r="C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E4FA-F379-44FB-904D-04BE8F343DC4}">
  <sheetPr codeName="Sheet4"/>
  <dimension ref="A1:W6"/>
  <sheetViews>
    <sheetView showGridLines="0" tabSelected="1" topLeftCell="D1" zoomScale="150" zoomScaleNormal="72" workbookViewId="0">
      <selection activeCell="O4" sqref="O4"/>
    </sheetView>
  </sheetViews>
  <sheetFormatPr defaultRowHeight="13.8" x14ac:dyDescent="0.25"/>
  <cols>
    <col min="1" max="1" width="8.796875" style="6" customWidth="1"/>
    <col min="2" max="2" width="10.5" style="6" customWidth="1"/>
    <col min="3" max="3" width="6.59765625" style="6" customWidth="1"/>
    <col min="4" max="4" width="13" style="6" customWidth="1"/>
    <col min="5" max="5" width="8.69921875" style="6" customWidth="1"/>
    <col min="6" max="6" width="8.796875" style="6"/>
    <col min="7" max="7" width="15.5" style="6" customWidth="1"/>
    <col min="8" max="10" width="8.796875" style="6"/>
    <col min="11" max="11" width="10.796875" style="6" customWidth="1"/>
    <col min="12" max="16" width="8.796875" style="6"/>
    <col min="17" max="17" width="16.69921875" style="6" customWidth="1"/>
    <col min="18" max="20" width="8.796875" style="6"/>
    <col min="21" max="21" width="8.296875" style="6" customWidth="1"/>
    <col min="22" max="22" width="8.796875" style="6"/>
    <col min="23" max="23" width="14.5" style="6" customWidth="1"/>
    <col min="24" max="16384" width="8.796875" style="6"/>
  </cols>
  <sheetData>
    <row r="1" spans="1:23" ht="13.8" customHeight="1" x14ac:dyDescent="0.25">
      <c r="A1" s="41" t="s">
        <v>95</v>
      </c>
      <c r="B1" s="42"/>
      <c r="C1" s="42"/>
      <c r="D1" s="42"/>
      <c r="E1" s="42"/>
      <c r="F1" s="42"/>
      <c r="G1" s="42"/>
      <c r="H1" s="42"/>
      <c r="I1" s="42"/>
      <c r="J1" s="42"/>
      <c r="K1" s="43"/>
      <c r="L1" s="7"/>
      <c r="M1" s="8"/>
      <c r="N1" s="8"/>
      <c r="O1" s="8"/>
      <c r="P1" s="8"/>
      <c r="Q1" s="8"/>
      <c r="R1" s="8"/>
      <c r="S1" s="8"/>
      <c r="T1" s="8"/>
      <c r="U1" s="8"/>
      <c r="V1" s="8"/>
    </row>
    <row r="2" spans="1:23" ht="33" customHeight="1" thickBot="1" x14ac:dyDescent="0.3">
      <c r="A2" s="44"/>
      <c r="B2" s="45"/>
      <c r="C2" s="45"/>
      <c r="D2" s="45"/>
      <c r="E2" s="45"/>
      <c r="F2" s="45"/>
      <c r="G2" s="45"/>
      <c r="H2" s="45"/>
      <c r="I2" s="45"/>
      <c r="J2" s="45"/>
      <c r="K2" s="46"/>
      <c r="L2" s="9"/>
      <c r="M2" s="8"/>
      <c r="N2" s="8"/>
      <c r="O2" s="8"/>
      <c r="R2" s="8"/>
      <c r="S2" s="8"/>
      <c r="T2" s="8"/>
      <c r="U2" s="8"/>
      <c r="V2" s="8"/>
    </row>
    <row r="3" spans="1:23" ht="14.4" thickBot="1" x14ac:dyDescent="0.3">
      <c r="A3" s="5"/>
      <c r="B3" s="5"/>
      <c r="C3" s="5"/>
      <c r="D3" s="5"/>
      <c r="E3" s="5"/>
      <c r="F3" s="5"/>
      <c r="G3" s="5"/>
      <c r="H3" s="5"/>
      <c r="I3" s="5"/>
      <c r="J3" s="5"/>
      <c r="K3" s="5"/>
      <c r="L3" s="5"/>
      <c r="M3" s="5"/>
      <c r="N3" s="5"/>
      <c r="O3" s="5"/>
      <c r="R3" s="5"/>
      <c r="S3" s="5"/>
      <c r="T3" s="5"/>
      <c r="V3" s="24"/>
      <c r="W3" s="24"/>
    </row>
    <row r="4" spans="1:23" ht="24" customHeight="1" x14ac:dyDescent="0.4">
      <c r="A4" s="27" t="s">
        <v>65</v>
      </c>
      <c r="B4" s="28"/>
      <c r="C4" s="5"/>
      <c r="D4" s="27" t="s">
        <v>66</v>
      </c>
      <c r="E4" s="28"/>
      <c r="F4" s="5"/>
      <c r="G4" s="27" t="s">
        <v>109</v>
      </c>
      <c r="H4" s="28"/>
      <c r="I4" s="5"/>
      <c r="J4" s="27" t="s">
        <v>108</v>
      </c>
      <c r="K4" s="28"/>
      <c r="L4" s="5"/>
      <c r="M4" s="27" t="s">
        <v>117</v>
      </c>
      <c r="N4" s="28"/>
      <c r="O4" s="5"/>
      <c r="P4" s="27" t="s">
        <v>110</v>
      </c>
      <c r="Q4" s="57"/>
      <c r="R4" s="25"/>
      <c r="S4" s="27" t="s">
        <v>69</v>
      </c>
      <c r="T4" s="28"/>
      <c r="V4" s="27" t="s">
        <v>67</v>
      </c>
      <c r="W4" s="28"/>
    </row>
    <row r="5" spans="1:23" ht="22.8" customHeight="1" x14ac:dyDescent="0.35">
      <c r="A5" s="55">
        <f>GETPIVOTDATA("[Measures].[Sum of Sales 2]",kpi_calculation!$A$1)</f>
        <v>280908.2</v>
      </c>
      <c r="B5" s="56"/>
      <c r="D5" s="53">
        <f>GETPIVOTDATA("[Measures].[Count of OrderID]",kpi_calculation!$A$1)</f>
        <v>500</v>
      </c>
      <c r="E5" s="54"/>
      <c r="G5" s="51">
        <f>kpi_calculation!K2</f>
        <v>51701.599999999977</v>
      </c>
      <c r="H5" s="52"/>
      <c r="J5" s="51">
        <f>kpi_calculation!D8</f>
        <v>174466.34999999998</v>
      </c>
      <c r="K5" s="52"/>
      <c r="M5" s="37">
        <f>GETPIVOTDATA("[Measures].[mom%]",kpi_calculation!$A$1)</f>
        <v>0</v>
      </c>
      <c r="N5" s="38"/>
      <c r="P5" s="51">
        <f>GETPIVOTDATA("[Measures].[Sum of Profit]",kpi_calculation!$A$27)</f>
        <v>121651.39999999992</v>
      </c>
      <c r="Q5" s="52"/>
      <c r="S5" s="37">
        <f>GETPIVOTDATA("[Measures].[Average of Discount %]",kpi_calculation!$A$1)</f>
        <v>0.14809999999999987</v>
      </c>
      <c r="T5" s="38"/>
      <c r="V5" s="33">
        <f>GETPIVOTDATA("[Measures].[Average of Sales]",kpi_calculation!$A$1)</f>
        <v>1319.2168000000006</v>
      </c>
      <c r="W5" s="34"/>
    </row>
    <row r="6" spans="1:23" ht="21" customHeight="1" thickBot="1" x14ac:dyDescent="0.4">
      <c r="A6" s="31">
        <f>kpi_calculation!D22</f>
        <v>-0.25823065316574978</v>
      </c>
      <c r="B6" s="32"/>
      <c r="D6" s="47">
        <f>IFERROR((GETPIVOTDATA("[Measures].[count%]",kpi_calculation!$A$1,"[Calendar].[Date Hierarchy]","[Calendar].[Date Hierarchy].[Year].&amp;[2025]")),0)</f>
        <v>-0.27586206896551724</v>
      </c>
      <c r="E6" s="48"/>
      <c r="G6" s="29">
        <f>kpi_calculation!L2</f>
        <v>-0.10972590049213286</v>
      </c>
      <c r="H6" s="30"/>
      <c r="J6" s="49">
        <f>kpi_calculation!E8</f>
        <v>0.2644998911475353</v>
      </c>
      <c r="K6" s="50"/>
      <c r="M6" s="39"/>
      <c r="N6" s="40"/>
      <c r="P6" s="29">
        <f>IFERROR((GETPIVOTDATA("[Measures].[profit%year]",kpi_calculation!$A$27,"[Calendar].[Date Hierarchy]","[Calendar].[Date Hierarchy].[Year].&amp;[2025]")),0)</f>
        <v>-0.26087565654226352</v>
      </c>
      <c r="Q6" s="30"/>
      <c r="S6" s="39"/>
      <c r="T6" s="40"/>
      <c r="V6" s="35">
        <f>kpi_calculation!D16</f>
        <v>2.434814562825105E-2</v>
      </c>
      <c r="W6" s="36"/>
    </row>
  </sheetData>
  <mergeCells count="23">
    <mergeCell ref="A1:K2"/>
    <mergeCell ref="D6:E6"/>
    <mergeCell ref="G6:H6"/>
    <mergeCell ref="J6:K6"/>
    <mergeCell ref="S4:T4"/>
    <mergeCell ref="J4:K4"/>
    <mergeCell ref="J5:K5"/>
    <mergeCell ref="M4:N4"/>
    <mergeCell ref="G4:H4"/>
    <mergeCell ref="G5:H5"/>
    <mergeCell ref="A4:B4"/>
    <mergeCell ref="D4:E4"/>
    <mergeCell ref="D5:E5"/>
    <mergeCell ref="A5:B5"/>
    <mergeCell ref="P4:Q4"/>
    <mergeCell ref="P5:Q5"/>
    <mergeCell ref="V4:W4"/>
    <mergeCell ref="P6:Q6"/>
    <mergeCell ref="A6:B6"/>
    <mergeCell ref="V5:W5"/>
    <mergeCell ref="V6:W6"/>
    <mergeCell ref="M5:N6"/>
    <mergeCell ref="S5:T6"/>
  </mergeCells>
  <conditionalFormatting sqref="A6:B6">
    <cfRule type="iconSet" priority="3">
      <iconSet iconSet="3Arrows">
        <cfvo type="percent" val="0"/>
        <cfvo type="num" val="0"/>
        <cfvo type="num" val="0" gte="0"/>
      </iconSet>
    </cfRule>
  </conditionalFormatting>
  <conditionalFormatting sqref="D6:E6">
    <cfRule type="iconSet" priority="6">
      <iconSet iconSet="3Arrows">
        <cfvo type="percent" val="0"/>
        <cfvo type="num" val="0"/>
        <cfvo type="num" val="0" gte="0"/>
      </iconSet>
    </cfRule>
  </conditionalFormatting>
  <conditionalFormatting sqref="G6:H6">
    <cfRule type="iconSet" priority="5">
      <iconSet iconSet="3Arrows">
        <cfvo type="percent" val="0"/>
        <cfvo type="num" val="0"/>
        <cfvo type="num" val="0" gte="0"/>
      </iconSet>
    </cfRule>
  </conditionalFormatting>
  <conditionalFormatting sqref="M5">
    <cfRule type="iconSet" priority="8">
      <iconSet iconSet="3Arrows">
        <cfvo type="percent" val="0"/>
        <cfvo type="num" val="0"/>
        <cfvo type="num" val="0" gte="0"/>
      </iconSet>
    </cfRule>
  </conditionalFormatting>
  <conditionalFormatting sqref="P6:Q6">
    <cfRule type="iconSet" priority="1">
      <iconSet iconSet="3Arrows">
        <cfvo type="percent" val="0"/>
        <cfvo type="num" val="0"/>
        <cfvo type="num" val="0" gte="0"/>
      </iconSet>
    </cfRule>
  </conditionalFormatting>
  <conditionalFormatting sqref="V6:W6">
    <cfRule type="iconSet" priority="2">
      <iconSet iconSet="3Arrows">
        <cfvo type="percent" val="0"/>
        <cfvo type="num" val="0"/>
        <cfvo type="num" val="0" gte="0"/>
      </iconSet>
    </cfRule>
  </conditionalFormatting>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D1CC-82E6-41C9-9E32-6730D00DCB0D}">
  <dimension ref="A1:U28"/>
  <sheetViews>
    <sheetView showGridLines="0" workbookViewId="0">
      <selection sqref="A1:U28"/>
    </sheetView>
  </sheetViews>
  <sheetFormatPr defaultRowHeight="13.8" x14ac:dyDescent="0.25"/>
  <sheetData>
    <row r="1" spans="1:21" x14ac:dyDescent="0.25">
      <c r="A1" s="59"/>
      <c r="B1" s="59"/>
      <c r="C1" s="59"/>
      <c r="D1" s="59"/>
      <c r="E1" s="59"/>
      <c r="F1" s="59"/>
      <c r="G1" s="59"/>
      <c r="H1" s="59"/>
      <c r="I1" s="59"/>
      <c r="J1" s="59"/>
      <c r="K1" s="59"/>
      <c r="L1" s="59"/>
      <c r="M1" s="59"/>
      <c r="N1" s="59"/>
      <c r="O1" s="59"/>
      <c r="P1" s="59"/>
      <c r="Q1" s="59"/>
      <c r="R1" s="59"/>
      <c r="S1" s="59"/>
      <c r="T1" s="59"/>
      <c r="U1" s="59"/>
    </row>
    <row r="2" spans="1:21" x14ac:dyDescent="0.25">
      <c r="A2" s="59"/>
      <c r="B2" s="59"/>
      <c r="C2" s="59"/>
      <c r="D2" s="59"/>
      <c r="E2" s="59"/>
      <c r="F2" s="59"/>
      <c r="G2" s="59"/>
      <c r="H2" s="59"/>
      <c r="I2" s="59"/>
      <c r="J2" s="59"/>
      <c r="K2" s="59"/>
      <c r="L2" s="59"/>
      <c r="M2" s="59"/>
      <c r="N2" s="59"/>
      <c r="O2" s="59"/>
      <c r="P2" s="59"/>
      <c r="Q2" s="59"/>
      <c r="R2" s="59"/>
      <c r="S2" s="59"/>
      <c r="T2" s="59"/>
      <c r="U2" s="59"/>
    </row>
    <row r="3" spans="1:21" x14ac:dyDescent="0.25">
      <c r="A3" s="59"/>
      <c r="B3" s="59"/>
      <c r="C3" s="59"/>
      <c r="D3" s="59"/>
      <c r="E3" s="59"/>
      <c r="F3" s="59"/>
      <c r="G3" s="59"/>
      <c r="H3" s="59"/>
      <c r="I3" s="59"/>
      <c r="J3" s="59"/>
      <c r="K3" s="59"/>
      <c r="L3" s="59"/>
      <c r="M3" s="59"/>
      <c r="N3" s="59"/>
      <c r="O3" s="59"/>
      <c r="P3" s="59"/>
      <c r="Q3" s="59"/>
      <c r="R3" s="59"/>
      <c r="S3" s="59"/>
      <c r="T3" s="59"/>
      <c r="U3" s="59"/>
    </row>
    <row r="4" spans="1:21" x14ac:dyDescent="0.25">
      <c r="A4" s="59"/>
      <c r="B4" s="59"/>
      <c r="C4" s="59"/>
      <c r="D4" s="59"/>
      <c r="E4" s="59"/>
      <c r="F4" s="59"/>
      <c r="G4" s="59"/>
      <c r="H4" s="59"/>
      <c r="I4" s="59"/>
      <c r="J4" s="59"/>
      <c r="K4" s="59"/>
      <c r="L4" s="59"/>
      <c r="M4" s="59"/>
      <c r="N4" s="59"/>
      <c r="O4" s="59"/>
      <c r="P4" s="59"/>
      <c r="Q4" s="59"/>
      <c r="R4" s="59"/>
      <c r="S4" s="59"/>
      <c r="T4" s="59"/>
      <c r="U4" s="59"/>
    </row>
    <row r="5" spans="1:21" x14ac:dyDescent="0.25">
      <c r="A5" s="59"/>
      <c r="B5" s="59"/>
      <c r="C5" s="59"/>
      <c r="D5" s="59"/>
      <c r="E5" s="59"/>
      <c r="F5" s="59"/>
      <c r="G5" s="59"/>
      <c r="H5" s="59"/>
      <c r="I5" s="59"/>
      <c r="J5" s="59"/>
      <c r="K5" s="59"/>
      <c r="L5" s="59"/>
      <c r="M5" s="59"/>
      <c r="N5" s="59"/>
      <c r="O5" s="59"/>
      <c r="P5" s="59"/>
      <c r="Q5" s="59"/>
      <c r="R5" s="59"/>
      <c r="S5" s="59"/>
      <c r="T5" s="59"/>
      <c r="U5" s="59"/>
    </row>
    <row r="6" spans="1:21" x14ac:dyDescent="0.25">
      <c r="A6" s="59"/>
      <c r="B6" s="59"/>
      <c r="C6" s="59"/>
      <c r="D6" s="59"/>
      <c r="E6" s="59"/>
      <c r="F6" s="59"/>
      <c r="G6" s="59"/>
      <c r="H6" s="59"/>
      <c r="I6" s="59"/>
      <c r="J6" s="59"/>
      <c r="K6" s="59"/>
      <c r="L6" s="59"/>
      <c r="M6" s="59"/>
      <c r="N6" s="59"/>
      <c r="O6" s="59"/>
      <c r="P6" s="59"/>
      <c r="Q6" s="59"/>
      <c r="R6" s="59"/>
      <c r="S6" s="59"/>
      <c r="T6" s="59"/>
      <c r="U6" s="59"/>
    </row>
    <row r="7" spans="1:21" x14ac:dyDescent="0.25">
      <c r="A7" s="59"/>
      <c r="B7" s="59"/>
      <c r="C7" s="59"/>
      <c r="D7" s="59"/>
      <c r="E7" s="59"/>
      <c r="F7" s="59"/>
      <c r="G7" s="59"/>
      <c r="H7" s="59"/>
      <c r="I7" s="59"/>
      <c r="J7" s="59"/>
      <c r="K7" s="59"/>
      <c r="L7" s="59"/>
      <c r="M7" s="59"/>
      <c r="N7" s="59"/>
      <c r="O7" s="59"/>
      <c r="P7" s="59"/>
      <c r="Q7" s="59"/>
      <c r="R7" s="59"/>
      <c r="S7" s="59"/>
      <c r="T7" s="59"/>
      <c r="U7" s="59"/>
    </row>
    <row r="8" spans="1:21" x14ac:dyDescent="0.25">
      <c r="A8" s="59"/>
      <c r="B8" s="59"/>
      <c r="C8" s="59"/>
      <c r="D8" s="59"/>
      <c r="E8" s="59"/>
      <c r="F8" s="59"/>
      <c r="G8" s="59"/>
      <c r="H8" s="59"/>
      <c r="I8" s="59"/>
      <c r="J8" s="59"/>
      <c r="K8" s="59"/>
      <c r="L8" s="59"/>
      <c r="M8" s="59"/>
      <c r="N8" s="59"/>
      <c r="O8" s="59"/>
      <c r="P8" s="59"/>
      <c r="Q8" s="59"/>
      <c r="R8" s="59"/>
      <c r="S8" s="59"/>
      <c r="T8" s="59"/>
      <c r="U8" s="59"/>
    </row>
    <row r="9" spans="1:21" x14ac:dyDescent="0.25">
      <c r="A9" s="59"/>
      <c r="B9" s="59"/>
      <c r="C9" s="59"/>
      <c r="D9" s="59"/>
      <c r="E9" s="59"/>
      <c r="F9" s="59"/>
      <c r="G9" s="59"/>
      <c r="H9" s="59"/>
      <c r="I9" s="59"/>
      <c r="J9" s="59"/>
      <c r="K9" s="59"/>
      <c r="L9" s="59"/>
      <c r="M9" s="59"/>
      <c r="N9" s="59"/>
      <c r="O9" s="59"/>
      <c r="P9" s="59"/>
      <c r="Q9" s="59"/>
      <c r="R9" s="59"/>
      <c r="S9" s="59"/>
      <c r="T9" s="59"/>
      <c r="U9" s="59"/>
    </row>
    <row r="10" spans="1:21" x14ac:dyDescent="0.25">
      <c r="A10" s="59"/>
      <c r="B10" s="59"/>
      <c r="C10" s="59"/>
      <c r="D10" s="59"/>
      <c r="E10" s="59"/>
      <c r="F10" s="59"/>
      <c r="G10" s="59"/>
      <c r="H10" s="59"/>
      <c r="I10" s="59"/>
      <c r="J10" s="59"/>
      <c r="K10" s="59"/>
      <c r="L10" s="59"/>
      <c r="M10" s="59"/>
      <c r="N10" s="59"/>
      <c r="O10" s="59"/>
      <c r="P10" s="59"/>
      <c r="Q10" s="59"/>
      <c r="R10" s="59"/>
      <c r="S10" s="59"/>
      <c r="T10" s="59"/>
      <c r="U10" s="59"/>
    </row>
    <row r="11" spans="1:21" x14ac:dyDescent="0.25">
      <c r="A11" s="59"/>
      <c r="B11" s="59"/>
      <c r="C11" s="59"/>
      <c r="D11" s="59"/>
      <c r="E11" s="59"/>
      <c r="F11" s="59"/>
      <c r="G11" s="59"/>
      <c r="H11" s="59"/>
      <c r="I11" s="59"/>
      <c r="J11" s="59"/>
      <c r="K11" s="59"/>
      <c r="L11" s="59"/>
      <c r="M11" s="59"/>
      <c r="N11" s="59"/>
      <c r="O11" s="59"/>
      <c r="P11" s="59"/>
      <c r="Q11" s="59"/>
      <c r="R11" s="59"/>
      <c r="S11" s="59"/>
      <c r="T11" s="59"/>
      <c r="U11" s="59"/>
    </row>
    <row r="12" spans="1:21" x14ac:dyDescent="0.25">
      <c r="A12" s="59"/>
      <c r="B12" s="59"/>
      <c r="C12" s="59"/>
      <c r="D12" s="59"/>
      <c r="E12" s="59"/>
      <c r="F12" s="59"/>
      <c r="G12" s="59"/>
      <c r="H12" s="59"/>
      <c r="I12" s="59"/>
      <c r="J12" s="59"/>
      <c r="K12" s="59"/>
      <c r="L12" s="59"/>
      <c r="M12" s="59"/>
      <c r="N12" s="59"/>
      <c r="O12" s="59"/>
      <c r="P12" s="59"/>
      <c r="Q12" s="59"/>
      <c r="R12" s="59"/>
      <c r="S12" s="59"/>
      <c r="T12" s="59"/>
      <c r="U12" s="59"/>
    </row>
    <row r="13" spans="1:21" x14ac:dyDescent="0.25">
      <c r="A13" s="59"/>
      <c r="B13" s="59"/>
      <c r="C13" s="59"/>
      <c r="D13" s="59"/>
      <c r="E13" s="59"/>
      <c r="F13" s="59"/>
      <c r="G13" s="59"/>
      <c r="H13" s="59"/>
      <c r="I13" s="59"/>
      <c r="J13" s="59"/>
      <c r="K13" s="59"/>
      <c r="L13" s="59"/>
      <c r="M13" s="59"/>
      <c r="N13" s="59"/>
      <c r="O13" s="59"/>
      <c r="P13" s="59"/>
      <c r="Q13" s="59"/>
      <c r="R13" s="59"/>
      <c r="S13" s="59"/>
      <c r="T13" s="59"/>
      <c r="U13" s="59"/>
    </row>
    <row r="14" spans="1:21" x14ac:dyDescent="0.25">
      <c r="A14" s="59"/>
      <c r="B14" s="59"/>
      <c r="C14" s="59"/>
      <c r="D14" s="59"/>
      <c r="E14" s="59"/>
      <c r="F14" s="59"/>
      <c r="G14" s="59"/>
      <c r="H14" s="59"/>
      <c r="I14" s="59"/>
      <c r="J14" s="59"/>
      <c r="K14" s="59"/>
      <c r="L14" s="59"/>
      <c r="M14" s="59"/>
      <c r="N14" s="59"/>
      <c r="O14" s="59"/>
      <c r="P14" s="59"/>
      <c r="Q14" s="59"/>
      <c r="R14" s="59"/>
      <c r="S14" s="59"/>
      <c r="T14" s="59"/>
      <c r="U14" s="59"/>
    </row>
    <row r="15" spans="1:21" x14ac:dyDescent="0.25">
      <c r="A15" s="59"/>
      <c r="B15" s="59"/>
      <c r="C15" s="59"/>
      <c r="D15" s="59"/>
      <c r="E15" s="59"/>
      <c r="F15" s="59"/>
      <c r="G15" s="59"/>
      <c r="H15" s="59"/>
      <c r="I15" s="59"/>
      <c r="J15" s="59"/>
      <c r="K15" s="59"/>
      <c r="L15" s="59"/>
      <c r="M15" s="59"/>
      <c r="N15" s="59"/>
      <c r="O15" s="59"/>
      <c r="P15" s="59"/>
      <c r="Q15" s="59"/>
      <c r="R15" s="59"/>
      <c r="S15" s="59"/>
      <c r="T15" s="59"/>
      <c r="U15" s="59"/>
    </row>
    <row r="16" spans="1:21" x14ac:dyDescent="0.25">
      <c r="A16" s="59"/>
      <c r="B16" s="59"/>
      <c r="C16" s="59"/>
      <c r="D16" s="59"/>
      <c r="E16" s="59"/>
      <c r="F16" s="59"/>
      <c r="G16" s="59"/>
      <c r="H16" s="59"/>
      <c r="I16" s="59"/>
      <c r="J16" s="59"/>
      <c r="K16" s="59"/>
      <c r="L16" s="59"/>
      <c r="M16" s="59"/>
      <c r="N16" s="59"/>
      <c r="O16" s="59"/>
      <c r="P16" s="59"/>
      <c r="Q16" s="59"/>
      <c r="R16" s="59"/>
      <c r="S16" s="59"/>
      <c r="T16" s="59"/>
      <c r="U16" s="59"/>
    </row>
    <row r="17" spans="1:21" x14ac:dyDescent="0.25">
      <c r="A17" s="59"/>
      <c r="B17" s="59"/>
      <c r="C17" s="59"/>
      <c r="D17" s="59"/>
      <c r="E17" s="59"/>
      <c r="F17" s="59"/>
      <c r="G17" s="59"/>
      <c r="H17" s="59"/>
      <c r="I17" s="59"/>
      <c r="J17" s="59"/>
      <c r="K17" s="59"/>
      <c r="L17" s="59"/>
      <c r="M17" s="59"/>
      <c r="N17" s="59"/>
      <c r="O17" s="59"/>
      <c r="P17" s="59"/>
      <c r="Q17" s="59"/>
      <c r="R17" s="59"/>
      <c r="S17" s="59"/>
      <c r="T17" s="59"/>
      <c r="U17" s="59"/>
    </row>
    <row r="18" spans="1:21" x14ac:dyDescent="0.25">
      <c r="A18" s="59"/>
      <c r="B18" s="59"/>
      <c r="C18" s="59"/>
      <c r="D18" s="59"/>
      <c r="E18" s="59"/>
      <c r="F18" s="59"/>
      <c r="G18" s="59"/>
      <c r="H18" s="59"/>
      <c r="I18" s="59"/>
      <c r="J18" s="59"/>
      <c r="K18" s="59"/>
      <c r="L18" s="59"/>
      <c r="M18" s="59"/>
      <c r="N18" s="59"/>
      <c r="O18" s="59"/>
      <c r="P18" s="59"/>
      <c r="Q18" s="59"/>
      <c r="R18" s="59"/>
      <c r="S18" s="59"/>
      <c r="T18" s="59"/>
      <c r="U18" s="59"/>
    </row>
    <row r="19" spans="1:21" x14ac:dyDescent="0.25">
      <c r="A19" s="59"/>
      <c r="B19" s="59"/>
      <c r="C19" s="59"/>
      <c r="D19" s="59"/>
      <c r="E19" s="59"/>
      <c r="F19" s="59"/>
      <c r="G19" s="59"/>
      <c r="H19" s="59"/>
      <c r="I19" s="59"/>
      <c r="J19" s="59"/>
      <c r="K19" s="59"/>
      <c r="L19" s="59"/>
      <c r="M19" s="59"/>
      <c r="N19" s="59"/>
      <c r="O19" s="59"/>
      <c r="P19" s="59"/>
      <c r="Q19" s="59"/>
      <c r="R19" s="59"/>
      <c r="S19" s="59"/>
      <c r="T19" s="59"/>
      <c r="U19" s="59"/>
    </row>
    <row r="20" spans="1:21" x14ac:dyDescent="0.25">
      <c r="A20" s="59"/>
      <c r="B20" s="59"/>
      <c r="C20" s="59"/>
      <c r="D20" s="59"/>
      <c r="E20" s="59"/>
      <c r="F20" s="59"/>
      <c r="G20" s="59"/>
      <c r="H20" s="59"/>
      <c r="I20" s="59"/>
      <c r="J20" s="59"/>
      <c r="K20" s="59"/>
      <c r="L20" s="59"/>
      <c r="M20" s="59"/>
      <c r="N20" s="59"/>
      <c r="O20" s="59"/>
      <c r="P20" s="59"/>
      <c r="Q20" s="59"/>
      <c r="R20" s="59"/>
      <c r="S20" s="59"/>
      <c r="T20" s="59"/>
      <c r="U20" s="59"/>
    </row>
    <row r="21" spans="1:21" x14ac:dyDescent="0.25">
      <c r="A21" s="59"/>
      <c r="B21" s="59"/>
      <c r="C21" s="59"/>
      <c r="D21" s="59"/>
      <c r="E21" s="59"/>
      <c r="F21" s="59"/>
      <c r="G21" s="59"/>
      <c r="H21" s="59"/>
      <c r="I21" s="59"/>
      <c r="J21" s="59"/>
      <c r="K21" s="59"/>
      <c r="L21" s="59"/>
      <c r="M21" s="59"/>
      <c r="N21" s="59"/>
      <c r="O21" s="59"/>
      <c r="P21" s="59"/>
      <c r="Q21" s="59"/>
      <c r="R21" s="59"/>
      <c r="S21" s="59"/>
      <c r="T21" s="59"/>
      <c r="U21" s="59"/>
    </row>
    <row r="22" spans="1:21" x14ac:dyDescent="0.25">
      <c r="A22" s="59"/>
      <c r="B22" s="59"/>
      <c r="C22" s="59"/>
      <c r="D22" s="59"/>
      <c r="E22" s="59"/>
      <c r="F22" s="59"/>
      <c r="G22" s="59"/>
      <c r="H22" s="59"/>
      <c r="I22" s="59"/>
      <c r="J22" s="59"/>
      <c r="K22" s="59"/>
      <c r="L22" s="59"/>
      <c r="M22" s="59"/>
      <c r="N22" s="59"/>
      <c r="O22" s="59"/>
      <c r="P22" s="59"/>
      <c r="Q22" s="59"/>
      <c r="R22" s="59"/>
      <c r="S22" s="59"/>
      <c r="T22" s="59"/>
      <c r="U22" s="59"/>
    </row>
    <row r="23" spans="1:21" x14ac:dyDescent="0.25">
      <c r="A23" s="59"/>
      <c r="B23" s="59"/>
      <c r="C23" s="59"/>
      <c r="D23" s="59"/>
      <c r="E23" s="59"/>
      <c r="F23" s="59"/>
      <c r="G23" s="59"/>
      <c r="H23" s="59"/>
      <c r="I23" s="59"/>
      <c r="J23" s="59"/>
      <c r="K23" s="59"/>
      <c r="L23" s="59"/>
      <c r="M23" s="59"/>
      <c r="N23" s="59"/>
      <c r="O23" s="59"/>
      <c r="P23" s="59"/>
      <c r="Q23" s="59"/>
      <c r="R23" s="59"/>
      <c r="S23" s="59"/>
      <c r="T23" s="59"/>
      <c r="U23" s="59"/>
    </row>
    <row r="24" spans="1:21" x14ac:dyDescent="0.25">
      <c r="A24" s="59"/>
      <c r="B24" s="59"/>
      <c r="C24" s="59"/>
      <c r="D24" s="59"/>
      <c r="E24" s="59"/>
      <c r="F24" s="59"/>
      <c r="G24" s="59"/>
      <c r="H24" s="59"/>
      <c r="I24" s="59"/>
      <c r="J24" s="59"/>
      <c r="K24" s="59"/>
      <c r="L24" s="59"/>
      <c r="M24" s="59"/>
      <c r="N24" s="59"/>
      <c r="O24" s="59"/>
      <c r="P24" s="59"/>
      <c r="Q24" s="59"/>
      <c r="R24" s="59"/>
      <c r="S24" s="59"/>
      <c r="T24" s="59"/>
      <c r="U24" s="59"/>
    </row>
    <row r="25" spans="1:21" x14ac:dyDescent="0.25">
      <c r="A25" s="59"/>
      <c r="B25" s="59"/>
      <c r="C25" s="59"/>
      <c r="D25" s="59"/>
      <c r="E25" s="59"/>
      <c r="F25" s="59"/>
      <c r="G25" s="59"/>
      <c r="H25" s="59"/>
      <c r="I25" s="59"/>
      <c r="J25" s="59"/>
      <c r="K25" s="59"/>
      <c r="L25" s="59"/>
      <c r="M25" s="59"/>
      <c r="N25" s="59"/>
      <c r="O25" s="59"/>
      <c r="P25" s="59"/>
      <c r="Q25" s="59"/>
      <c r="R25" s="59"/>
      <c r="S25" s="59"/>
      <c r="T25" s="59"/>
      <c r="U25" s="59"/>
    </row>
    <row r="26" spans="1:21" x14ac:dyDescent="0.25">
      <c r="A26" s="59"/>
      <c r="B26" s="59"/>
      <c r="C26" s="59"/>
      <c r="D26" s="59"/>
      <c r="E26" s="59"/>
      <c r="F26" s="59"/>
      <c r="G26" s="59"/>
      <c r="H26" s="59"/>
      <c r="I26" s="59"/>
      <c r="J26" s="59"/>
      <c r="K26" s="59"/>
      <c r="L26" s="59"/>
      <c r="M26" s="59"/>
      <c r="N26" s="59"/>
      <c r="O26" s="59"/>
      <c r="P26" s="59"/>
      <c r="Q26" s="59"/>
      <c r="R26" s="59"/>
      <c r="S26" s="59"/>
      <c r="T26" s="59"/>
      <c r="U26" s="59"/>
    </row>
    <row r="27" spans="1:21" x14ac:dyDescent="0.25">
      <c r="A27" s="59"/>
      <c r="B27" s="59"/>
      <c r="C27" s="59"/>
      <c r="D27" s="59"/>
      <c r="E27" s="59"/>
      <c r="F27" s="59"/>
      <c r="G27" s="59"/>
      <c r="H27" s="59"/>
      <c r="I27" s="59"/>
      <c r="J27" s="59"/>
      <c r="K27" s="59"/>
      <c r="L27" s="59"/>
      <c r="M27" s="59"/>
      <c r="N27" s="59"/>
      <c r="O27" s="59"/>
      <c r="P27" s="59"/>
      <c r="Q27" s="59"/>
      <c r="R27" s="59"/>
      <c r="S27" s="59"/>
      <c r="T27" s="59"/>
      <c r="U27" s="59"/>
    </row>
    <row r="28" spans="1:21" x14ac:dyDescent="0.25">
      <c r="A28" s="59"/>
      <c r="B28" s="59"/>
      <c r="C28" s="59"/>
      <c r="D28" s="59"/>
      <c r="E28" s="59"/>
      <c r="F28" s="59"/>
      <c r="G28" s="59"/>
      <c r="H28" s="59"/>
      <c r="I28" s="59"/>
      <c r="J28" s="59"/>
      <c r="K28" s="59"/>
      <c r="L28" s="59"/>
      <c r="M28" s="59"/>
      <c r="N28" s="59"/>
      <c r="O28" s="59"/>
      <c r="P28" s="59"/>
      <c r="Q28" s="59"/>
      <c r="R28" s="59"/>
      <c r="S28" s="59"/>
      <c r="T28" s="59"/>
      <c r="U28" s="59"/>
    </row>
  </sheetData>
  <mergeCells count="1">
    <mergeCell ref="A1:U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2582D736-4F9A-48E7-A273-8F175F401AA2}">
  <ds:schemaRefs/>
</ds:datastoreItem>
</file>

<file path=customXml/itemProps2.xml><?xml version="1.0" encoding="utf-8"?>
<ds:datastoreItem xmlns:ds="http://schemas.openxmlformats.org/officeDocument/2006/customXml" ds:itemID="{D807AC19-A3D5-49DC-A5F2-8C2D3C41ABC1}">
  <ds:schemaRefs/>
</ds:datastoreItem>
</file>

<file path=customXml/itemProps3.xml><?xml version="1.0" encoding="utf-8"?>
<ds:datastoreItem xmlns:ds="http://schemas.openxmlformats.org/officeDocument/2006/customXml" ds:itemID="{87F5ADC8-FEFC-45EC-9A05-3EBAD0C90F04}">
  <ds:schemaRefs/>
</ds:datastoreItem>
</file>

<file path=customXml/itemProps4.xml><?xml version="1.0" encoding="utf-8"?>
<ds:datastoreItem xmlns:ds="http://schemas.openxmlformats.org/officeDocument/2006/customXml" ds:itemID="{6B6485C2-A8D7-4E9E-BB95-4B5EFA087F05}">
  <ds:schemaRefs/>
</ds:datastoreItem>
</file>

<file path=customXml/itemProps5.xml><?xml version="1.0" encoding="utf-8"?>
<ds:datastoreItem xmlns:ds="http://schemas.openxmlformats.org/officeDocument/2006/customXml" ds:itemID="{F7DD5D90-0900-46BC-BBEF-603BEF921FF2}">
  <ds:schemaRefs/>
</ds:datastoreItem>
</file>

<file path=customXml/itemProps6.xml><?xml version="1.0" encoding="utf-8"?>
<ds:datastoreItem xmlns:ds="http://schemas.openxmlformats.org/officeDocument/2006/customXml" ds:itemID="{C418722C-3265-4AC2-ADF7-6F86BF6409D3}">
  <ds:schemaRefs/>
</ds:datastoreItem>
</file>

<file path=customXml/itemProps7.xml><?xml version="1.0" encoding="utf-8"?>
<ds:datastoreItem xmlns:ds="http://schemas.openxmlformats.org/officeDocument/2006/customXml" ds:itemID="{F8F2EBF2-8EF4-4457-841E-F77F5EDD0822}">
  <ds:schemaRefs/>
</ds:datastoreItem>
</file>

<file path=customXml/itemProps8.xml><?xml version="1.0" encoding="utf-8"?>
<ds:datastoreItem xmlns:ds="http://schemas.openxmlformats.org/officeDocument/2006/customXml" ds:itemID="{23E95A5B-EB45-408F-929E-88A00048149C}">
  <ds:schemaRefs/>
</ds:datastoreItem>
</file>

<file path=customXml/itemProps9.xml><?xml version="1.0" encoding="utf-8"?>
<ds:datastoreItem xmlns:ds="http://schemas.openxmlformats.org/officeDocument/2006/customXml" ds:itemID="{FF3AA5A9-8838-452B-A72E-039287E243D1}">
  <ds:schemaRefs/>
</ds:datastoreItem>
</file>

<file path=customXml/itemProps10.xml><?xml version="1.0" encoding="utf-8"?>
<ds:datastoreItem xmlns:ds="http://schemas.openxmlformats.org/officeDocument/2006/customXml" ds:itemID="{D57B7EC7-28F0-47B2-B46A-C599108B1167}">
  <ds:schemaRefs/>
</ds:datastoreItem>
</file>

<file path=customXml/itemProps11.xml><?xml version="1.0" encoding="utf-8"?>
<ds:datastoreItem xmlns:ds="http://schemas.openxmlformats.org/officeDocument/2006/customXml" ds:itemID="{B5EA3B6F-8649-474B-A338-DD9FAD704885}">
  <ds:schemaRefs/>
</ds:datastoreItem>
</file>

<file path=customXml/itemProps12.xml><?xml version="1.0" encoding="utf-8"?>
<ds:datastoreItem xmlns:ds="http://schemas.openxmlformats.org/officeDocument/2006/customXml" ds:itemID="{DEC2471D-3ACC-4032-B1DE-0B52E106C25C}">
  <ds:schemaRefs/>
</ds:datastoreItem>
</file>

<file path=customXml/itemProps13.xml><?xml version="1.0" encoding="utf-8"?>
<ds:datastoreItem xmlns:ds="http://schemas.openxmlformats.org/officeDocument/2006/customXml" ds:itemID="{C4186E7A-454E-4BEB-97D7-09DCFB3443FC}">
  <ds:schemaRefs/>
</ds:datastoreItem>
</file>

<file path=customXml/itemProps14.xml><?xml version="1.0" encoding="utf-8"?>
<ds:datastoreItem xmlns:ds="http://schemas.openxmlformats.org/officeDocument/2006/customXml" ds:itemID="{431B4E0C-F202-40C2-99B5-8C3AAFB5C702}">
  <ds:schemaRefs/>
</ds:datastoreItem>
</file>

<file path=customXml/itemProps15.xml><?xml version="1.0" encoding="utf-8"?>
<ds:datastoreItem xmlns:ds="http://schemas.openxmlformats.org/officeDocument/2006/customXml" ds:itemID="{49BFD8BF-5075-49A2-B858-980D35375AE6}">
  <ds:schemaRefs/>
</ds:datastoreItem>
</file>

<file path=customXml/itemProps16.xml><?xml version="1.0" encoding="utf-8"?>
<ds:datastoreItem xmlns:ds="http://schemas.openxmlformats.org/officeDocument/2006/customXml" ds:itemID="{F61CD7AF-A636-4837-B013-BB6323B204A3}">
  <ds:schemaRefs/>
</ds:datastoreItem>
</file>

<file path=customXml/itemProps17.xml><?xml version="1.0" encoding="utf-8"?>
<ds:datastoreItem xmlns:ds="http://schemas.openxmlformats.org/officeDocument/2006/customXml" ds:itemID="{8B5B9E0E-66A2-4297-A7D7-1CE0B4EF4C4F}">
  <ds:schemaRefs/>
</ds:datastoreItem>
</file>

<file path=customXml/itemProps18.xml><?xml version="1.0" encoding="utf-8"?>
<ds:datastoreItem xmlns:ds="http://schemas.openxmlformats.org/officeDocument/2006/customXml" ds:itemID="{FFF6B6EF-60BB-495D-B289-243B3B5E3551}">
  <ds:schemaRefs/>
</ds:datastoreItem>
</file>

<file path=customXml/itemProps19.xml><?xml version="1.0" encoding="utf-8"?>
<ds:datastoreItem xmlns:ds="http://schemas.openxmlformats.org/officeDocument/2006/customXml" ds:itemID="{AC6A1F75-E496-4AE5-A1C8-EB5438F47E39}">
  <ds:schemaRefs/>
</ds:datastoreItem>
</file>

<file path=customXml/itemProps20.xml><?xml version="1.0" encoding="utf-8"?>
<ds:datastoreItem xmlns:ds="http://schemas.openxmlformats.org/officeDocument/2006/customXml" ds:itemID="{795AD8E4-C072-43D5-8B49-62140B6A8C25}">
  <ds:schemaRefs/>
</ds:datastoreItem>
</file>

<file path=customXml/itemProps21.xml><?xml version="1.0" encoding="utf-8"?>
<ds:datastoreItem xmlns:ds="http://schemas.openxmlformats.org/officeDocument/2006/customXml" ds:itemID="{1CB38094-7769-4E00-80F9-5C02C87B8D58}">
  <ds:schemaRefs/>
</ds:datastoreItem>
</file>

<file path=customXml/itemProps22.xml><?xml version="1.0" encoding="utf-8"?>
<ds:datastoreItem xmlns:ds="http://schemas.openxmlformats.org/officeDocument/2006/customXml" ds:itemID="{A656CEF3-8B38-4D08-8EFC-A66550FDB098}">
  <ds:schemaRefs/>
</ds:datastoreItem>
</file>

<file path=customXml/itemProps23.xml><?xml version="1.0" encoding="utf-8"?>
<ds:datastoreItem xmlns:ds="http://schemas.openxmlformats.org/officeDocument/2006/customXml" ds:itemID="{40E641E1-E883-491C-92AD-45703AA4650E}">
  <ds:schemaRefs/>
</ds:datastoreItem>
</file>

<file path=customXml/itemProps24.xml><?xml version="1.0" encoding="utf-8"?>
<ds:datastoreItem xmlns:ds="http://schemas.openxmlformats.org/officeDocument/2006/customXml" ds:itemID="{A7AD5016-2888-4B6D-B045-856BF5444AE6}">
  <ds:schemaRefs>
    <ds:schemaRef ds:uri="http://schemas.microsoft.com/DataMashup"/>
  </ds:schemaRefs>
</ds:datastoreItem>
</file>

<file path=customXml/itemProps25.xml><?xml version="1.0" encoding="utf-8"?>
<ds:datastoreItem xmlns:ds="http://schemas.openxmlformats.org/officeDocument/2006/customXml" ds:itemID="{5A0495EF-96EC-4ED4-A177-E18BCCB232B5}">
  <ds:schemaRefs/>
</ds:datastoreItem>
</file>

<file path=customXml/itemProps26.xml><?xml version="1.0" encoding="utf-8"?>
<ds:datastoreItem xmlns:ds="http://schemas.openxmlformats.org/officeDocument/2006/customXml" ds:itemID="{3CA742C0-E1A4-49A3-9920-D9B1502D6FE7}">
  <ds:schemaRefs/>
</ds:datastoreItem>
</file>

<file path=customXml/itemProps27.xml><?xml version="1.0" encoding="utf-8"?>
<ds:datastoreItem xmlns:ds="http://schemas.openxmlformats.org/officeDocument/2006/customXml" ds:itemID="{8607A630-1CBA-47A9-B6C4-2DE7A95F5E43}">
  <ds:schemaRefs/>
</ds:datastoreItem>
</file>

<file path=customXml/itemProps28.xml><?xml version="1.0" encoding="utf-8"?>
<ds:datastoreItem xmlns:ds="http://schemas.openxmlformats.org/officeDocument/2006/customXml" ds:itemID="{091B8864-70E2-4088-BBA8-45F08B8FFDEE}">
  <ds:schemaRefs/>
</ds:datastoreItem>
</file>

<file path=customXml/itemProps29.xml><?xml version="1.0" encoding="utf-8"?>
<ds:datastoreItem xmlns:ds="http://schemas.openxmlformats.org/officeDocument/2006/customXml" ds:itemID="{659A3296-8E51-487D-BADC-F3620D962F73}">
  <ds:schemaRefs/>
</ds:datastoreItem>
</file>

<file path=customXml/itemProps30.xml><?xml version="1.0" encoding="utf-8"?>
<ds:datastoreItem xmlns:ds="http://schemas.openxmlformats.org/officeDocument/2006/customXml" ds:itemID="{FFF5DA4A-A30A-4ED9-80B8-60F3AF135124}">
  <ds:schemaRefs/>
</ds:datastoreItem>
</file>

<file path=customXml/itemProps31.xml><?xml version="1.0" encoding="utf-8"?>
<ds:datastoreItem xmlns:ds="http://schemas.openxmlformats.org/officeDocument/2006/customXml" ds:itemID="{C625D414-C325-49F1-8EB2-831C896E7EA0}">
  <ds:schemaRefs/>
</ds:datastoreItem>
</file>

<file path=customXml/itemProps32.xml><?xml version="1.0" encoding="utf-8"?>
<ds:datastoreItem xmlns:ds="http://schemas.openxmlformats.org/officeDocument/2006/customXml" ds:itemID="{01EA554E-9A28-493F-886F-2DDB43A98DBF}">
  <ds:schemaRefs/>
</ds:datastoreItem>
</file>

<file path=customXml/itemProps33.xml><?xml version="1.0" encoding="utf-8"?>
<ds:datastoreItem xmlns:ds="http://schemas.openxmlformats.org/officeDocument/2006/customXml" ds:itemID="{447C4C01-012E-44D3-9361-1426ACA25EBB}">
  <ds:schemaRefs/>
</ds:datastoreItem>
</file>

<file path=customXml/itemProps34.xml><?xml version="1.0" encoding="utf-8"?>
<ds:datastoreItem xmlns:ds="http://schemas.openxmlformats.org/officeDocument/2006/customXml" ds:itemID="{0B665F05-39DE-4158-89C0-7E4D3E7965F0}">
  <ds:schemaRefs/>
</ds:datastoreItem>
</file>

<file path=customXml/itemProps35.xml><?xml version="1.0" encoding="utf-8"?>
<ds:datastoreItem xmlns:ds="http://schemas.openxmlformats.org/officeDocument/2006/customXml" ds:itemID="{7074625C-2A23-4DA5-BE8C-7AFF930789C1}">
  <ds:schemaRefs/>
</ds:datastoreItem>
</file>

<file path=customXml/itemProps36.xml><?xml version="1.0" encoding="utf-8"?>
<ds:datastoreItem xmlns:ds="http://schemas.openxmlformats.org/officeDocument/2006/customXml" ds:itemID="{A588F265-549A-46F0-904B-062A28E2D836}">
  <ds:schemaRefs/>
</ds:datastoreItem>
</file>

<file path=customXml/itemProps37.xml><?xml version="1.0" encoding="utf-8"?>
<ds:datastoreItem xmlns:ds="http://schemas.openxmlformats.org/officeDocument/2006/customXml" ds:itemID="{35588F32-76B1-4E65-A445-6949DE54D3CA}">
  <ds:schemaRefs/>
</ds:datastoreItem>
</file>

<file path=customXml/itemProps38.xml><?xml version="1.0" encoding="utf-8"?>
<ds:datastoreItem xmlns:ds="http://schemas.openxmlformats.org/officeDocument/2006/customXml" ds:itemID="{5D6CF6C4-28AF-4DB9-A124-A138C0FD571A}">
  <ds:schemaRefs/>
</ds:datastoreItem>
</file>

<file path=customXml/itemProps39.xml><?xml version="1.0" encoding="utf-8"?>
<ds:datastoreItem xmlns:ds="http://schemas.openxmlformats.org/officeDocument/2006/customXml" ds:itemID="{06EFFD4B-5E19-4126-B722-A5CDD42D1684}">
  <ds:schemaRefs/>
</ds:datastoreItem>
</file>

<file path=customXml/itemProps40.xml><?xml version="1.0" encoding="utf-8"?>
<ds:datastoreItem xmlns:ds="http://schemas.openxmlformats.org/officeDocument/2006/customXml" ds:itemID="{C7A958FB-5BF4-4E53-9D09-59C637121467}">
  <ds:schemaRefs/>
</ds:datastoreItem>
</file>

<file path=customXml/itemProps41.xml><?xml version="1.0" encoding="utf-8"?>
<ds:datastoreItem xmlns:ds="http://schemas.openxmlformats.org/officeDocument/2006/customXml" ds:itemID="{B928C805-9C05-4ED7-8C5B-3E8CF27E1653}">
  <ds:schemaRefs/>
</ds:datastoreItem>
</file>

<file path=customXml/itemProps42.xml><?xml version="1.0" encoding="utf-8"?>
<ds:datastoreItem xmlns:ds="http://schemas.openxmlformats.org/officeDocument/2006/customXml" ds:itemID="{1120F0D2-D332-4FA4-AC84-76E368CB38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Pivot_tables</vt:lpstr>
      <vt:lpstr>kpi_calculation</vt:lpstr>
      <vt:lpstr>dashboard_view</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arman</dc:creator>
  <cp:lastModifiedBy>mohd arman</cp:lastModifiedBy>
  <dcterms:created xsi:type="dcterms:W3CDTF">2025-10-18T12:12:25Z</dcterms:created>
  <dcterms:modified xsi:type="dcterms:W3CDTF">2026-03-10T19:15:15Z</dcterms:modified>
</cp:coreProperties>
</file>